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èses" sheetId="1" state="visible" r:id="rId1"/>
    <sheet name="Cas 1" sheetId="2" state="visible" r:id="rId2"/>
    <sheet name="Cas 2" sheetId="3" state="visible" r:id="rId3"/>
    <sheet name="Cas 3" sheetId="4" state="visible" r:id="rId4"/>
    <sheet name="Cas 4" sheetId="5" state="visible" r:id="rId5"/>
    <sheet name="Cas 5" sheetId="6" state="visible" r:id="rId6"/>
    <sheet name="Cas 6" sheetId="7" state="visible" r:id="rId7"/>
  </sheets>
  <definedNames>
    <definedName name="taux_r">'Hypothèses'!$C$4</definedName>
    <definedName name="g_diesel">'Hypothèses'!$C$5</definedName>
    <definedName name="g_elec">'Hypothèses'!$C$6</definedName>
    <definedName name="g_h2">'Hypothèses'!$C$7</definedName>
    <definedName name="g_entretien">'Hypothèses'!$C$8</definedName>
    <definedName name="g_general">'Hypothèses'!$C$9</definedName>
    <definedName name="prix_diesel">'Hypothèses'!$C$10</definedName>
    <definedName name="prix_elec">'Hypothèses'!$C$11</definedName>
    <definedName name="prix_h2">'Hypothèses'!$C$12</definedName>
    <definedName name="rendement">'Hypothèses'!$C$13</definedName>
    <definedName name="maj_hiver">'Hypothèses'!$C$14</definedName>
    <definedName name="part_hiver">'Hypothèses'!$C$15</definedName>
    <definedName name="fact_hiver">'Hypothèses'!$C$16</definedName>
    <definedName name="taux_tvq">'Hypothèses'!$C$17</definedName>
    <definedName name="part_tvq_non_recup">'Hypothèses'!$C$18</definedName>
    <definedName name="taux_taxes">'Hypothèses'!$C$19</definedName>
    <definedName name="d_diesel">'Hypothèses'!$C$20</definedName>
    <definedName name="d_bev">'Hypothèses'!$C$21</definedName>
    <definedName name="d_fcev">'Hypothèses'!$C$22</definedName>
    <definedName name="plancher_vr">'Hypothèses'!$C$23</definedName>
    <definedName name="infra_entretien_pct">'Hypothèses'!$C$24</definedName>
    <definedName name="duree_vie_infra">'Hypothèses'!$C$25</definedName>
    <definedName name="fe_leger">'Hypothèses'!$C$26</definedName>
    <definedName name="fe_lourd">'Hypothèses'!$C$27</definedName>
    <definedName name="ratio_wtw">'Hypothèses'!$C$28</definedName>
    <definedName name="fe_elec">'Hypothèses'!$C$29</definedName>
    <definedName name="fe_h2">'Hypothèses'!$C$30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22" customWidth="1" min="3" max="3"/>
    <col width="14" customWidth="1" min="4" max="4"/>
  </cols>
  <sheetData>
    <row r="1">
      <c r="A1" s="1" t="inlineStr">
        <is>
          <t>Hypothèses communes — scénario Central, CAD courants, année de référence 2026, municipalité</t>
        </is>
      </c>
    </row>
    <row r="3">
      <c r="A3" s="2" t="inlineStr">
        <is>
          <t>Nom</t>
        </is>
      </c>
      <c r="B3" s="2" t="inlineStr">
        <is>
          <t>Description</t>
        </is>
      </c>
      <c r="C3" s="2" t="inlineStr">
        <is>
          <t>Valeur</t>
        </is>
      </c>
      <c r="D3" s="2" t="inlineStr">
        <is>
          <t>Unité</t>
        </is>
      </c>
    </row>
    <row r="4">
      <c r="A4" t="inlineStr">
        <is>
          <t>taux_r</t>
        </is>
      </c>
      <c r="B4" t="inlineStr">
        <is>
          <t>Taux d'actualisation nominal r</t>
        </is>
      </c>
      <c r="C4" s="3" t="n">
        <v>0.05</v>
      </c>
      <c r="D4" t="inlineStr">
        <is>
          <t>décimal</t>
        </is>
      </c>
    </row>
    <row r="5">
      <c r="A5" t="inlineStr">
        <is>
          <t>g_diesel</t>
        </is>
      </c>
      <c r="B5" t="inlineStr">
        <is>
          <t>Inflation diesel</t>
        </is>
      </c>
      <c r="C5" s="3" t="n">
        <v>0.03</v>
      </c>
      <c r="D5" t="inlineStr">
        <is>
          <t>décimal</t>
        </is>
      </c>
    </row>
    <row r="6">
      <c r="A6" t="inlineStr">
        <is>
          <t>g_elec</t>
        </is>
      </c>
      <c r="B6" t="inlineStr">
        <is>
          <t>Inflation électricité</t>
        </is>
      </c>
      <c r="C6" s="3" t="n">
        <v>0.035</v>
      </c>
      <c r="D6" t="inlineStr">
        <is>
          <t>décimal</t>
        </is>
      </c>
    </row>
    <row r="7">
      <c r="A7" t="inlineStr">
        <is>
          <t>g_h2</t>
        </is>
      </c>
      <c r="B7" t="inlineStr">
        <is>
          <t>Inflation hydrogène</t>
        </is>
      </c>
      <c r="C7" s="3" t="n">
        <v>0</v>
      </c>
      <c r="D7" t="inlineStr">
        <is>
          <t>décimal</t>
        </is>
      </c>
    </row>
    <row r="8">
      <c r="A8" t="inlineStr">
        <is>
          <t>g_entretien</t>
        </is>
      </c>
      <c r="B8" t="inlineStr">
        <is>
          <t>Inflation entretien</t>
        </is>
      </c>
      <c r="C8" s="3" t="n">
        <v>0.025</v>
      </c>
      <c r="D8" t="inlineStr">
        <is>
          <t>décimal</t>
        </is>
      </c>
    </row>
    <row r="9">
      <c r="A9" t="inlineStr">
        <is>
          <t>g_general</t>
        </is>
      </c>
      <c r="B9" t="inlineStr">
        <is>
          <t>Inflation générale</t>
        </is>
      </c>
      <c r="C9" s="3" t="n">
        <v>0.021</v>
      </c>
      <c r="D9" t="inlineStr">
        <is>
          <t>décimal</t>
        </is>
      </c>
    </row>
    <row r="10">
      <c r="A10" t="inlineStr">
        <is>
          <t>prix_diesel</t>
        </is>
      </c>
      <c r="B10" t="inlineStr">
        <is>
          <t>Prix diesel année 0</t>
        </is>
      </c>
      <c r="C10" s="3" t="n">
        <v>2.95</v>
      </c>
      <c r="D10" t="inlineStr">
        <is>
          <t>$/L</t>
        </is>
      </c>
    </row>
    <row r="11">
      <c r="A11" t="inlineStr">
        <is>
          <t>prix_elec</t>
        </is>
      </c>
      <c r="B11" t="inlineStr">
        <is>
          <t>Prix électricité effectif au compteur, année 0</t>
        </is>
      </c>
      <c r="C11" s="3" t="n">
        <v>0.1</v>
      </c>
      <c r="D11" t="inlineStr">
        <is>
          <t>$/kWh</t>
        </is>
      </c>
    </row>
    <row r="12">
      <c r="A12" t="inlineStr">
        <is>
          <t>prix_h2</t>
        </is>
      </c>
      <c r="B12" t="inlineStr">
        <is>
          <t>Prix H2 livré, année 0</t>
        </is>
      </c>
      <c r="C12" s="3" t="n">
        <v>16.5</v>
      </c>
      <c r="D12" t="inlineStr">
        <is>
          <t>$/kg</t>
        </is>
      </c>
    </row>
    <row r="13">
      <c r="A13" t="inlineStr">
        <is>
          <t>rendement</t>
        </is>
      </c>
      <c r="B13" t="inlineStr">
        <is>
          <t>Rendement de recharge (kWh véhicule / kWh compteur)</t>
        </is>
      </c>
      <c r="C13" s="3" t="n">
        <v>0.9</v>
      </c>
      <c r="D13" t="inlineStr">
        <is>
          <t>ratio</t>
        </is>
      </c>
    </row>
    <row r="14">
      <c r="A14" t="inlineStr">
        <is>
          <t>maj_hiver</t>
        </is>
      </c>
      <c r="B14" t="inlineStr">
        <is>
          <t>Majoration hivernale (mois d'hiver)</t>
        </is>
      </c>
      <c r="C14" s="3" t="n">
        <v>0.25</v>
      </c>
      <c r="D14" t="inlineStr">
        <is>
          <t>ratio</t>
        </is>
      </c>
    </row>
    <row r="15">
      <c r="A15" t="inlineStr">
        <is>
          <t>part_hiver</t>
        </is>
      </c>
      <c r="B15" t="inlineStr">
        <is>
          <t>Part des km en hiver</t>
        </is>
      </c>
      <c r="C15" s="3" t="n">
        <v>0.33</v>
      </c>
      <c r="D15" t="inlineStr">
        <is>
          <t>ratio</t>
        </is>
      </c>
    </row>
    <row r="16">
      <c r="A16" t="inlineStr">
        <is>
          <t>fact_hiver</t>
        </is>
      </c>
      <c r="B16" t="inlineStr">
        <is>
          <t>Facteur hivernal annualisé = 1 + maj x part</t>
        </is>
      </c>
      <c r="C16" s="4">
        <f>1+maj_hiver*part_hiver</f>
        <v/>
      </c>
      <c r="D16" t="inlineStr">
        <is>
          <t>ratio</t>
        </is>
      </c>
    </row>
    <row r="17">
      <c r="A17" t="inlineStr">
        <is>
          <t>taux_tvq</t>
        </is>
      </c>
      <c r="B17" t="inlineStr">
        <is>
          <t>Taux TVQ</t>
        </is>
      </c>
      <c r="C17" s="3" t="n">
        <v>0.09975000000000001</v>
      </c>
      <c r="D17" t="inlineStr">
        <is>
          <t>décimal</t>
        </is>
      </c>
    </row>
    <row r="18">
      <c r="A18" t="inlineStr">
        <is>
          <t>part_tvq_non_recup</t>
        </is>
      </c>
      <c r="B18" t="inlineStr">
        <is>
          <t>Part de TVQ non récupérable (municipalité)</t>
        </is>
      </c>
      <c r="C18" s="3" t="n">
        <v>0.5</v>
      </c>
      <c r="D18" t="inlineStr">
        <is>
          <t>ratio</t>
        </is>
      </c>
    </row>
    <row r="19">
      <c r="A19" t="inlineStr">
        <is>
          <t>taux_taxes</t>
        </is>
      </c>
      <c r="B19" t="inlineStr">
        <is>
          <t>Taxes non récupérables = part x TVQ (TPS remboursée 100 %)</t>
        </is>
      </c>
      <c r="C19" s="4">
        <f>part_tvq_non_recup*taux_tvq</f>
        <v/>
      </c>
      <c r="D19" t="inlineStr">
        <is>
          <t>décimal</t>
        </is>
      </c>
    </row>
    <row r="20">
      <c r="A20" t="inlineStr">
        <is>
          <t>d_diesel</t>
        </is>
      </c>
      <c r="B20" t="inlineStr">
        <is>
          <t>Dépréciation annuelle diesel</t>
        </is>
      </c>
      <c r="C20" s="3" t="n">
        <v>0.15</v>
      </c>
      <c r="D20" t="inlineStr">
        <is>
          <t>décimal</t>
        </is>
      </c>
    </row>
    <row r="21">
      <c r="A21" t="inlineStr">
        <is>
          <t>d_bev</t>
        </is>
      </c>
      <c r="B21" t="inlineStr">
        <is>
          <t>Dépréciation annuelle BEV</t>
        </is>
      </c>
      <c r="C21" s="3" t="n">
        <v>0.18</v>
      </c>
      <c r="D21" t="inlineStr">
        <is>
          <t>décimal</t>
        </is>
      </c>
    </row>
    <row r="22">
      <c r="A22" t="inlineStr">
        <is>
          <t>d_fcev</t>
        </is>
      </c>
      <c r="B22" t="inlineStr">
        <is>
          <t>Dépréciation annuelle FCEV</t>
        </is>
      </c>
      <c r="C22" s="3" t="n">
        <v>0.2</v>
      </c>
      <c r="D22" t="inlineStr">
        <is>
          <t>décimal</t>
        </is>
      </c>
    </row>
    <row r="23">
      <c r="A23" t="inlineStr">
        <is>
          <t>plancher_vr</t>
        </is>
      </c>
      <c r="B23" t="inlineStr">
        <is>
          <t>Plancher de valeur résiduelle</t>
        </is>
      </c>
      <c r="C23" s="3" t="n">
        <v>0.1</v>
      </c>
      <c r="D23" t="inlineStr">
        <is>
          <t>ratio</t>
        </is>
      </c>
    </row>
    <row r="24">
      <c r="A24" t="inlineStr">
        <is>
          <t>infra_entretien_pct</t>
        </is>
      </c>
      <c r="B24" t="inlineStr">
        <is>
          <t>Entretien infra annuel (part du capex avant taxes)</t>
        </is>
      </c>
      <c r="C24" s="3" t="n">
        <v>0.03</v>
      </c>
      <c r="D24" t="inlineStr">
        <is>
          <t>ratio</t>
        </is>
      </c>
    </row>
    <row r="25">
      <c r="A25" t="inlineStr">
        <is>
          <t>duree_vie_infra</t>
        </is>
      </c>
      <c r="B25" t="inlineStr">
        <is>
          <t>Durée de vie de l'infrastructure</t>
        </is>
      </c>
      <c r="C25" s="3" t="n">
        <v>15</v>
      </c>
      <c r="D25" t="inlineStr">
        <is>
          <t>années</t>
        </is>
      </c>
    </row>
    <row r="26">
      <c r="A26" t="inlineStr">
        <is>
          <t>fe_leger</t>
        </is>
      </c>
      <c r="B26" t="inlineStr">
        <is>
          <t>FE diesel TTW — véhicules légers/camionnettes</t>
        </is>
      </c>
      <c r="C26" s="3" t="n">
        <v>2.741</v>
      </c>
      <c r="D26" t="inlineStr">
        <is>
          <t>kg CO2e/L</t>
        </is>
      </c>
    </row>
    <row r="27">
      <c r="A27" t="inlineStr">
        <is>
          <t>fe_lourd</t>
        </is>
      </c>
      <c r="B27" t="inlineStr">
        <is>
          <t>FE diesel TTW — camions moyens/lourds, autobus</t>
        </is>
      </c>
      <c r="C27" s="3" t="n">
        <v>2.724</v>
      </c>
      <c r="D27" t="inlineStr">
        <is>
          <t>kg CO2e/L</t>
        </is>
      </c>
    </row>
    <row r="28">
      <c r="A28" t="inlineStr">
        <is>
          <t>ratio_wtw</t>
        </is>
      </c>
      <c r="B28" t="inlineStr">
        <is>
          <t>WTW diesel = TTW x ratio</t>
        </is>
      </c>
      <c r="C28" s="3" t="n">
        <v>1.25</v>
      </c>
      <c r="D28" t="inlineStr">
        <is>
          <t>ratio</t>
        </is>
      </c>
    </row>
    <row r="29">
      <c r="A29" t="inlineStr">
        <is>
          <t>fe_elec</t>
        </is>
      </c>
      <c r="B29" t="inlineStr">
        <is>
          <t>FE électricité QC (WTW, au compteur)</t>
        </is>
      </c>
      <c r="C29" s="3" t="n">
        <v>1.2</v>
      </c>
      <c r="D29" t="inlineStr">
        <is>
          <t>g CO2e/kWh</t>
        </is>
      </c>
    </row>
    <row r="30">
      <c r="A30" t="inlineStr">
        <is>
          <t>fe_h2</t>
        </is>
      </c>
      <c r="B30" t="inlineStr">
        <is>
          <t>FE H2 électrolyse QC (WTW)</t>
        </is>
      </c>
      <c r="C30" s="3" t="n">
        <v>1</v>
      </c>
      <c r="D30" t="inlineStr">
        <is>
          <t>kg CO2e/kg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Cas 1 — Camionnette de service BEV</t>
        </is>
      </c>
    </row>
    <row r="3">
      <c r="A3" s="2" t="inlineStr">
        <is>
          <t>Entrées du cas (constantes)</t>
        </is>
      </c>
    </row>
    <row r="4">
      <c r="A4" t="inlineStr">
        <is>
          <t>Horizon H (années)</t>
        </is>
      </c>
      <c r="B4" s="3" t="n">
        <v>10</v>
      </c>
      <c r="C4" t="inlineStr">
        <is>
          <t>ans</t>
        </is>
      </c>
    </row>
    <row r="5">
      <c r="A5" t="inlineStr">
        <is>
          <t>Kilométrage annuel</t>
        </is>
      </c>
      <c r="B5" s="3" t="n">
        <v>30000</v>
      </c>
      <c r="C5" t="inlineStr">
        <is>
          <t>km/an</t>
        </is>
      </c>
    </row>
    <row r="6">
      <c r="A6" t="inlineStr">
        <is>
          <t>Prix réf (diesel) avant taxes</t>
        </is>
      </c>
      <c r="B6" s="3" t="n">
        <v>68000</v>
      </c>
      <c r="C6" t="inlineStr">
        <is>
          <t>$</t>
        </is>
      </c>
    </row>
    <row r="7">
      <c r="A7" t="inlineStr">
        <is>
          <t>Conso réf</t>
        </is>
      </c>
      <c r="B7" s="3" t="n">
        <v>15</v>
      </c>
      <c r="C7" t="inlineStr">
        <is>
          <t>L/100 km</t>
        </is>
      </c>
    </row>
    <row r="8">
      <c r="A8" t="inlineStr">
        <is>
          <t>Entretien réf</t>
        </is>
      </c>
      <c r="B8" s="3" t="n">
        <v>0.14</v>
      </c>
      <c r="C8" t="inlineStr">
        <is>
          <t>$/km</t>
        </is>
      </c>
    </row>
    <row r="9">
      <c r="A9" t="inlineStr">
        <is>
          <t>Prix alt avant taxes</t>
        </is>
      </c>
      <c r="B9" s="3" t="n">
        <v>95000</v>
      </c>
      <c r="C9" t="inlineStr">
        <is>
          <t>$</t>
        </is>
      </c>
    </row>
    <row r="10">
      <c r="A10" t="inlineStr">
        <is>
          <t>Conso alt</t>
        </is>
      </c>
      <c r="B10" s="3" t="n">
        <v>32</v>
      </c>
      <c r="C10" t="inlineStr">
        <is>
          <t>kWh/100 km</t>
        </is>
      </c>
    </row>
    <row r="11">
      <c r="A11" t="inlineStr">
        <is>
          <t>Entretien alt</t>
        </is>
      </c>
      <c r="B11" s="3" t="n">
        <v>0.1</v>
      </c>
      <c r="C11" t="inlineStr">
        <is>
          <t>$/km</t>
        </is>
      </c>
    </row>
    <row r="12">
      <c r="A12" t="inlineStr">
        <is>
          <t>Subvention (montant)</t>
        </is>
      </c>
      <c r="B12" s="3" t="n">
        <v>2500</v>
      </c>
      <c r="C12" t="inlineStr">
        <is>
          <t>$</t>
        </is>
      </c>
    </row>
    <row r="13">
      <c r="A13" t="inlineStr">
        <is>
          <t>Subvention (année de versement)</t>
        </is>
      </c>
      <c r="B13" s="3" t="n">
        <v>1</v>
      </c>
      <c r="C13" t="inlineStr">
        <is>
          <t>année</t>
        </is>
      </c>
    </row>
    <row r="14">
      <c r="A14" t="inlineStr">
        <is>
          <t>Infra — capex avant taxes</t>
        </is>
      </c>
      <c r="B14" s="3" t="n">
        <v>15000</v>
      </c>
      <c r="C14" t="inlineStr">
        <is>
          <t>$</t>
        </is>
      </c>
    </row>
    <row r="15">
      <c r="A15" t="inlineStr">
        <is>
          <t>FE diesel TTW (choix catégorie)</t>
        </is>
      </c>
      <c r="B15" s="4">
        <f>fe_leger</f>
        <v/>
      </c>
      <c r="C15" t="inlineStr">
        <is>
          <t>kg CO2e/L</t>
        </is>
      </c>
    </row>
    <row r="17">
      <c r="A17" s="2" t="inlineStr">
        <is>
          <t>Valeurs dérivées (formules)</t>
        </is>
      </c>
    </row>
    <row r="18">
      <c r="A18" t="inlineStr">
        <is>
          <t>Prix réf avec taxes non récupérables</t>
        </is>
      </c>
      <c r="B18" s="4">
        <f>$B$6*(1+taux_taxes)</f>
        <v/>
      </c>
    </row>
    <row r="19">
      <c r="A19" t="inlineStr">
        <is>
          <t>Prix alt avec taxes non récupérables</t>
        </is>
      </c>
      <c r="B19" s="4">
        <f>$B$9*(1+taux_taxes)</f>
        <v/>
      </c>
    </row>
    <row r="20">
      <c r="A20" t="inlineStr">
        <is>
          <t>Infra avec taxes non récupérables</t>
        </is>
      </c>
      <c r="B20" s="4">
        <f>$B$14*(1+taux_taxes)</f>
        <v/>
      </c>
    </row>
    <row r="21">
      <c r="A21" t="inlineStr">
        <is>
          <t>Conso alt facturée (compteur ou pompe) /100 km</t>
        </is>
      </c>
      <c r="B21" s="4">
        <f>$B$10*fact_hiver/rendement</f>
        <v/>
      </c>
    </row>
    <row r="22">
      <c r="A22" t="inlineStr">
        <is>
          <t>VR réf fin d'horizon (avant taxes, nominale)</t>
        </is>
      </c>
      <c r="B22" s="4">
        <f>MAX($B$6*(1-d_diesel)^$B$4,plancher_vr*$B$6)</f>
        <v/>
      </c>
    </row>
    <row r="23">
      <c r="A23" t="inlineStr">
        <is>
          <t>VR alt fin d'horizon (avant taxes, nominale)</t>
        </is>
      </c>
      <c r="B23" s="4">
        <f>MAX($B$9*(1-d_bev)^$B$4,plancher_vr*$B$9)</f>
        <v/>
      </c>
    </row>
    <row r="24">
      <c r="A24" t="inlineStr">
        <is>
          <t>VR infra fin d'horizon (linéaire sur 15 ans)</t>
        </is>
      </c>
      <c r="B24" s="4">
        <f>IF($B$14&gt;0,$B$14*(duree_vie_infra-$B$4)/duree_vie_infra,0)</f>
        <v/>
      </c>
    </row>
    <row r="27">
      <c r="A27" s="2" t="inlineStr">
        <is>
          <t>n</t>
        </is>
      </c>
      <c r="B27" s="2" t="inlineStr">
        <is>
          <t>Acquisition alt</t>
        </is>
      </c>
      <c r="C27" s="2" t="inlineStr">
        <is>
          <t>Subventions</t>
        </is>
      </c>
      <c r="D27" s="2" t="inlineStr">
        <is>
          <t>Énergie alt</t>
        </is>
      </c>
      <c r="E27" s="2" t="inlineStr">
        <is>
          <t>Entretien alt</t>
        </is>
      </c>
      <c r="F27" s="2" t="inlineStr">
        <is>
          <t>Opex infra</t>
        </is>
      </c>
      <c r="G27" s="2" t="inlineStr">
        <is>
          <t>Résiduels alt</t>
        </is>
      </c>
      <c r="H27" s="2" t="inlineStr">
        <is>
          <t>Flux net alt</t>
        </is>
      </c>
      <c r="I27" s="2" t="inlineStr">
        <is>
          <t>Acquisition réf</t>
        </is>
      </c>
      <c r="J27" s="2" t="inlineStr">
        <is>
          <t>Énergie réf</t>
        </is>
      </c>
      <c r="K27" s="2" t="inlineStr">
        <is>
          <t>Entretien réf</t>
        </is>
      </c>
      <c r="L27" s="2" t="inlineStr">
        <is>
          <t>Résiduels réf</t>
        </is>
      </c>
      <c r="M27" s="2" t="inlineStr">
        <is>
          <t>Flux net réf</t>
        </is>
      </c>
      <c r="N27" s="2" t="inlineStr">
        <is>
          <t>Économie nominale</t>
        </is>
      </c>
      <c r="O27" s="2" t="inlineStr">
        <is>
          <t>Facteur actualisation</t>
        </is>
      </c>
      <c r="P27" s="2" t="inlineStr">
        <is>
          <t>Flux act. alt</t>
        </is>
      </c>
      <c r="Q27" s="2" t="inlineStr">
        <is>
          <t>Flux act. réf</t>
        </is>
      </c>
      <c r="R27" s="2" t="inlineStr">
        <is>
          <t>Cumul économie nominale</t>
        </is>
      </c>
      <c r="S27" s="2" t="inlineStr">
        <is>
          <t>Cumul économie actualisée</t>
        </is>
      </c>
      <c r="T27" s="2" t="inlineStr">
        <is>
          <t>km actualisés</t>
        </is>
      </c>
      <c r="U27" s="2" t="inlineStr">
        <is>
          <t>n si cumul nominal &gt;= 0</t>
        </is>
      </c>
      <c r="V27" s="2" t="inlineStr">
        <is>
          <t>n si cumul actualisé &gt;= 0</t>
        </is>
      </c>
      <c r="W27" s="2" t="inlineStr">
        <is>
          <t>TTW réf (t)</t>
        </is>
      </c>
      <c r="X27" s="2" t="inlineStr">
        <is>
          <t>WTW réf (t)</t>
        </is>
      </c>
      <c r="Y27" s="2" t="inlineStr">
        <is>
          <t>WTW alt (t)</t>
        </is>
      </c>
    </row>
    <row r="28">
      <c r="A28" t="n">
        <v>0</v>
      </c>
      <c r="B28" s="5">
        <f>IF(A28=0,$B$19+$B$20,0)</f>
        <v/>
      </c>
      <c r="C28" s="5">
        <f>IF(A28=$B$13,$B$12,0)</f>
        <v/>
      </c>
      <c r="D28" s="5">
        <f>IF(A28=0,0,$B$5*$B$21/100*prix_elec*(1+g_elec)^A28)</f>
        <v/>
      </c>
      <c r="E28" s="5">
        <f>IF(A28=0,0,$B$5*$B$11*(1+g_entretien)^A28)</f>
        <v/>
      </c>
      <c r="F28" s="5">
        <f>IF(A28=0,0,infra_entretien_pct*$B$14*(1+g_entretien)^A28)</f>
        <v/>
      </c>
      <c r="G28" s="5">
        <f>IF(A28=$B$4,$B$23+$B$24,0)</f>
        <v/>
      </c>
      <c r="H28" s="5">
        <f>B28-C28+D28+E28+F28-G28</f>
        <v/>
      </c>
      <c r="I28" s="5">
        <f>IF(A28=0,$B$18,0)</f>
        <v/>
      </c>
      <c r="J28" s="5">
        <f>IF(A28=0,0,$B$5*$B$7/100*prix_diesel*(1+g_diesel)^A28)</f>
        <v/>
      </c>
      <c r="K28" s="5">
        <f>IF(A28=0,0,$B$5*$B$8*(1+g_entretien)^A28)</f>
        <v/>
      </c>
      <c r="L28" s="5">
        <f>IF(A28=$B$4,$B$22,0)</f>
        <v/>
      </c>
      <c r="M28" s="5">
        <f>I28+J28+K28-L28</f>
        <v/>
      </c>
      <c r="N28" s="5">
        <f>M28-H28</f>
        <v/>
      </c>
      <c r="O28" s="5">
        <f>1/(1+taux_r)^A28</f>
        <v/>
      </c>
      <c r="P28" s="5">
        <f>H28*O28</f>
        <v/>
      </c>
      <c r="Q28" s="5">
        <f>M28*O28</f>
        <v/>
      </c>
      <c r="R28" s="5">
        <f>N28</f>
        <v/>
      </c>
      <c r="S28" s="5">
        <f>N28*O28</f>
        <v/>
      </c>
      <c r="T28" s="5">
        <f>IF(A28=0,0,$B$5*O28)</f>
        <v/>
      </c>
      <c r="U28" s="6">
        <f>IF(R28&gt;=0,A28,"")</f>
        <v/>
      </c>
      <c r="V28" s="6">
        <f>IF(S28&gt;=0,A28,"")</f>
        <v/>
      </c>
      <c r="W28" s="6">
        <f>IF(A28=0,0,$B$5*$B$7/100*$B$15/1000)</f>
        <v/>
      </c>
      <c r="X28" s="6">
        <f>W28*ratio_wtw</f>
        <v/>
      </c>
      <c r="Y28" s="6">
        <f>IF(A28=0,0,$B$5*$B$21/100*fe_elec/1000000)</f>
        <v/>
      </c>
    </row>
    <row r="29">
      <c r="A29">
        <f>A28+1</f>
        <v/>
      </c>
      <c r="B29" s="5">
        <f>IF(A29=0,$B$19+$B$20,0)</f>
        <v/>
      </c>
      <c r="C29" s="5">
        <f>IF(A29=$B$13,$B$12,0)</f>
        <v/>
      </c>
      <c r="D29" s="5">
        <f>IF(A29=0,0,$B$5*$B$21/100*prix_elec*(1+g_elec)^A29)</f>
        <v/>
      </c>
      <c r="E29" s="5">
        <f>IF(A29=0,0,$B$5*$B$11*(1+g_entretien)^A29)</f>
        <v/>
      </c>
      <c r="F29" s="5">
        <f>IF(A29=0,0,infra_entretien_pct*$B$14*(1+g_entretien)^A29)</f>
        <v/>
      </c>
      <c r="G29" s="5">
        <f>IF(A29=$B$4,$B$23+$B$24,0)</f>
        <v/>
      </c>
      <c r="H29" s="5">
        <f>B29-C29+D29+E29+F29-G29</f>
        <v/>
      </c>
      <c r="I29" s="5">
        <f>IF(A29=0,$B$18,0)</f>
        <v/>
      </c>
      <c r="J29" s="5">
        <f>IF(A29=0,0,$B$5*$B$7/100*prix_diesel*(1+g_diesel)^A29)</f>
        <v/>
      </c>
      <c r="K29" s="5">
        <f>IF(A29=0,0,$B$5*$B$8*(1+g_entretien)^A29)</f>
        <v/>
      </c>
      <c r="L29" s="5">
        <f>IF(A29=$B$4,$B$22,0)</f>
        <v/>
      </c>
      <c r="M29" s="5">
        <f>I29+J29+K29-L29</f>
        <v/>
      </c>
      <c r="N29" s="5">
        <f>M29-H29</f>
        <v/>
      </c>
      <c r="O29" s="5">
        <f>1/(1+taux_r)^A29</f>
        <v/>
      </c>
      <c r="P29" s="5">
        <f>H29*O29</f>
        <v/>
      </c>
      <c r="Q29" s="5">
        <f>M29*O29</f>
        <v/>
      </c>
      <c r="R29" s="5">
        <f>R28+N29</f>
        <v/>
      </c>
      <c r="S29" s="5">
        <f>S28+N29*O29</f>
        <v/>
      </c>
      <c r="T29" s="5">
        <f>IF(A29=0,0,$B$5*O29)</f>
        <v/>
      </c>
      <c r="U29" s="6">
        <f>IF(R29&gt;=0,A29,"")</f>
        <v/>
      </c>
      <c r="V29" s="6">
        <f>IF(S29&gt;=0,A29,"")</f>
        <v/>
      </c>
      <c r="W29" s="6">
        <f>IF(A29=0,0,$B$5*$B$7/100*$B$15/1000)</f>
        <v/>
      </c>
      <c r="X29" s="6">
        <f>W29*ratio_wtw</f>
        <v/>
      </c>
      <c r="Y29" s="6">
        <f>IF(A29=0,0,$B$5*$B$21/100*fe_elec/1000000)</f>
        <v/>
      </c>
    </row>
    <row r="30">
      <c r="A30">
        <f>A29+1</f>
        <v/>
      </c>
      <c r="B30" s="5">
        <f>IF(A30=0,$B$19+$B$20,0)</f>
        <v/>
      </c>
      <c r="C30" s="5">
        <f>IF(A30=$B$13,$B$12,0)</f>
        <v/>
      </c>
      <c r="D30" s="5">
        <f>IF(A30=0,0,$B$5*$B$21/100*prix_elec*(1+g_elec)^A30)</f>
        <v/>
      </c>
      <c r="E30" s="5">
        <f>IF(A30=0,0,$B$5*$B$11*(1+g_entretien)^A30)</f>
        <v/>
      </c>
      <c r="F30" s="5">
        <f>IF(A30=0,0,infra_entretien_pct*$B$14*(1+g_entretien)^A30)</f>
        <v/>
      </c>
      <c r="G30" s="5">
        <f>IF(A30=$B$4,$B$23+$B$24,0)</f>
        <v/>
      </c>
      <c r="H30" s="5">
        <f>B30-C30+D30+E30+F30-G30</f>
        <v/>
      </c>
      <c r="I30" s="5">
        <f>IF(A30=0,$B$18,0)</f>
        <v/>
      </c>
      <c r="J30" s="5">
        <f>IF(A30=0,0,$B$5*$B$7/100*prix_diesel*(1+g_diesel)^A30)</f>
        <v/>
      </c>
      <c r="K30" s="5">
        <f>IF(A30=0,0,$B$5*$B$8*(1+g_entretien)^A30)</f>
        <v/>
      </c>
      <c r="L30" s="5">
        <f>IF(A30=$B$4,$B$22,0)</f>
        <v/>
      </c>
      <c r="M30" s="5">
        <f>I30+J30+K30-L30</f>
        <v/>
      </c>
      <c r="N30" s="5">
        <f>M30-H30</f>
        <v/>
      </c>
      <c r="O30" s="5">
        <f>1/(1+taux_r)^A30</f>
        <v/>
      </c>
      <c r="P30" s="5">
        <f>H30*O30</f>
        <v/>
      </c>
      <c r="Q30" s="5">
        <f>M30*O30</f>
        <v/>
      </c>
      <c r="R30" s="5">
        <f>R29+N30</f>
        <v/>
      </c>
      <c r="S30" s="5">
        <f>S29+N30*O30</f>
        <v/>
      </c>
      <c r="T30" s="5">
        <f>IF(A30=0,0,$B$5*O30)</f>
        <v/>
      </c>
      <c r="U30" s="6">
        <f>IF(R30&gt;=0,A30,"")</f>
        <v/>
      </c>
      <c r="V30" s="6">
        <f>IF(S30&gt;=0,A30,"")</f>
        <v/>
      </c>
      <c r="W30" s="6">
        <f>IF(A30=0,0,$B$5*$B$7/100*$B$15/1000)</f>
        <v/>
      </c>
      <c r="X30" s="6">
        <f>W30*ratio_wtw</f>
        <v/>
      </c>
      <c r="Y30" s="6">
        <f>IF(A30=0,0,$B$5*$B$21/100*fe_elec/1000000)</f>
        <v/>
      </c>
    </row>
    <row r="31">
      <c r="A31">
        <f>A30+1</f>
        <v/>
      </c>
      <c r="B31" s="5">
        <f>IF(A31=0,$B$19+$B$20,0)</f>
        <v/>
      </c>
      <c r="C31" s="5">
        <f>IF(A31=$B$13,$B$12,0)</f>
        <v/>
      </c>
      <c r="D31" s="5">
        <f>IF(A31=0,0,$B$5*$B$21/100*prix_elec*(1+g_elec)^A31)</f>
        <v/>
      </c>
      <c r="E31" s="5">
        <f>IF(A31=0,0,$B$5*$B$11*(1+g_entretien)^A31)</f>
        <v/>
      </c>
      <c r="F31" s="5">
        <f>IF(A31=0,0,infra_entretien_pct*$B$14*(1+g_entretien)^A31)</f>
        <v/>
      </c>
      <c r="G31" s="5">
        <f>IF(A31=$B$4,$B$23+$B$24,0)</f>
        <v/>
      </c>
      <c r="H31" s="5">
        <f>B31-C31+D31+E31+F31-G31</f>
        <v/>
      </c>
      <c r="I31" s="5">
        <f>IF(A31=0,$B$18,0)</f>
        <v/>
      </c>
      <c r="J31" s="5">
        <f>IF(A31=0,0,$B$5*$B$7/100*prix_diesel*(1+g_diesel)^A31)</f>
        <v/>
      </c>
      <c r="K31" s="5">
        <f>IF(A31=0,0,$B$5*$B$8*(1+g_entretien)^A31)</f>
        <v/>
      </c>
      <c r="L31" s="5">
        <f>IF(A31=$B$4,$B$22,0)</f>
        <v/>
      </c>
      <c r="M31" s="5">
        <f>I31+J31+K31-L31</f>
        <v/>
      </c>
      <c r="N31" s="5">
        <f>M31-H31</f>
        <v/>
      </c>
      <c r="O31" s="5">
        <f>1/(1+taux_r)^A31</f>
        <v/>
      </c>
      <c r="P31" s="5">
        <f>H31*O31</f>
        <v/>
      </c>
      <c r="Q31" s="5">
        <f>M31*O31</f>
        <v/>
      </c>
      <c r="R31" s="5">
        <f>R30+N31</f>
        <v/>
      </c>
      <c r="S31" s="5">
        <f>S30+N31*O31</f>
        <v/>
      </c>
      <c r="T31" s="5">
        <f>IF(A31=0,0,$B$5*O31)</f>
        <v/>
      </c>
      <c r="U31" s="6">
        <f>IF(R31&gt;=0,A31,"")</f>
        <v/>
      </c>
      <c r="V31" s="6">
        <f>IF(S31&gt;=0,A31,"")</f>
        <v/>
      </c>
      <c r="W31" s="6">
        <f>IF(A31=0,0,$B$5*$B$7/100*$B$15/1000)</f>
        <v/>
      </c>
      <c r="X31" s="6">
        <f>W31*ratio_wtw</f>
        <v/>
      </c>
      <c r="Y31" s="6">
        <f>IF(A31=0,0,$B$5*$B$21/100*fe_elec/1000000)</f>
        <v/>
      </c>
    </row>
    <row r="32">
      <c r="A32">
        <f>A31+1</f>
        <v/>
      </c>
      <c r="B32" s="5">
        <f>IF(A32=0,$B$19+$B$20,0)</f>
        <v/>
      </c>
      <c r="C32" s="5">
        <f>IF(A32=$B$13,$B$12,0)</f>
        <v/>
      </c>
      <c r="D32" s="5">
        <f>IF(A32=0,0,$B$5*$B$21/100*prix_elec*(1+g_elec)^A32)</f>
        <v/>
      </c>
      <c r="E32" s="5">
        <f>IF(A32=0,0,$B$5*$B$11*(1+g_entretien)^A32)</f>
        <v/>
      </c>
      <c r="F32" s="5">
        <f>IF(A32=0,0,infra_entretien_pct*$B$14*(1+g_entretien)^A32)</f>
        <v/>
      </c>
      <c r="G32" s="5">
        <f>IF(A32=$B$4,$B$23+$B$24,0)</f>
        <v/>
      </c>
      <c r="H32" s="5">
        <f>B32-C32+D32+E32+F32-G32</f>
        <v/>
      </c>
      <c r="I32" s="5">
        <f>IF(A32=0,$B$18,0)</f>
        <v/>
      </c>
      <c r="J32" s="5">
        <f>IF(A32=0,0,$B$5*$B$7/100*prix_diesel*(1+g_diesel)^A32)</f>
        <v/>
      </c>
      <c r="K32" s="5">
        <f>IF(A32=0,0,$B$5*$B$8*(1+g_entretien)^A32)</f>
        <v/>
      </c>
      <c r="L32" s="5">
        <f>IF(A32=$B$4,$B$22,0)</f>
        <v/>
      </c>
      <c r="M32" s="5">
        <f>I32+J32+K32-L32</f>
        <v/>
      </c>
      <c r="N32" s="5">
        <f>M32-H32</f>
        <v/>
      </c>
      <c r="O32" s="5">
        <f>1/(1+taux_r)^A32</f>
        <v/>
      </c>
      <c r="P32" s="5">
        <f>H32*O32</f>
        <v/>
      </c>
      <c r="Q32" s="5">
        <f>M32*O32</f>
        <v/>
      </c>
      <c r="R32" s="5">
        <f>R31+N32</f>
        <v/>
      </c>
      <c r="S32" s="5">
        <f>S31+N32*O32</f>
        <v/>
      </c>
      <c r="T32" s="5">
        <f>IF(A32=0,0,$B$5*O32)</f>
        <v/>
      </c>
      <c r="U32" s="6">
        <f>IF(R32&gt;=0,A32,"")</f>
        <v/>
      </c>
      <c r="V32" s="6">
        <f>IF(S32&gt;=0,A32,"")</f>
        <v/>
      </c>
      <c r="W32" s="6">
        <f>IF(A32=0,0,$B$5*$B$7/100*$B$15/1000)</f>
        <v/>
      </c>
      <c r="X32" s="6">
        <f>W32*ratio_wtw</f>
        <v/>
      </c>
      <c r="Y32" s="6">
        <f>IF(A32=0,0,$B$5*$B$21/100*fe_elec/1000000)</f>
        <v/>
      </c>
    </row>
    <row r="33">
      <c r="A33">
        <f>A32+1</f>
        <v/>
      </c>
      <c r="B33" s="5">
        <f>IF(A33=0,$B$19+$B$20,0)</f>
        <v/>
      </c>
      <c r="C33" s="5">
        <f>IF(A33=$B$13,$B$12,0)</f>
        <v/>
      </c>
      <c r="D33" s="5">
        <f>IF(A33=0,0,$B$5*$B$21/100*prix_elec*(1+g_elec)^A33)</f>
        <v/>
      </c>
      <c r="E33" s="5">
        <f>IF(A33=0,0,$B$5*$B$11*(1+g_entretien)^A33)</f>
        <v/>
      </c>
      <c r="F33" s="5">
        <f>IF(A33=0,0,infra_entretien_pct*$B$14*(1+g_entretien)^A33)</f>
        <v/>
      </c>
      <c r="G33" s="5">
        <f>IF(A33=$B$4,$B$23+$B$24,0)</f>
        <v/>
      </c>
      <c r="H33" s="5">
        <f>B33-C33+D33+E33+F33-G33</f>
        <v/>
      </c>
      <c r="I33" s="5">
        <f>IF(A33=0,$B$18,0)</f>
        <v/>
      </c>
      <c r="J33" s="5">
        <f>IF(A33=0,0,$B$5*$B$7/100*prix_diesel*(1+g_diesel)^A33)</f>
        <v/>
      </c>
      <c r="K33" s="5">
        <f>IF(A33=0,0,$B$5*$B$8*(1+g_entretien)^A33)</f>
        <v/>
      </c>
      <c r="L33" s="5">
        <f>IF(A33=$B$4,$B$22,0)</f>
        <v/>
      </c>
      <c r="M33" s="5">
        <f>I33+J33+K33-L33</f>
        <v/>
      </c>
      <c r="N33" s="5">
        <f>M33-H33</f>
        <v/>
      </c>
      <c r="O33" s="5">
        <f>1/(1+taux_r)^A33</f>
        <v/>
      </c>
      <c r="P33" s="5">
        <f>H33*O33</f>
        <v/>
      </c>
      <c r="Q33" s="5">
        <f>M33*O33</f>
        <v/>
      </c>
      <c r="R33" s="5">
        <f>R32+N33</f>
        <v/>
      </c>
      <c r="S33" s="5">
        <f>S32+N33*O33</f>
        <v/>
      </c>
      <c r="T33" s="5">
        <f>IF(A33=0,0,$B$5*O33)</f>
        <v/>
      </c>
      <c r="U33" s="6">
        <f>IF(R33&gt;=0,A33,"")</f>
        <v/>
      </c>
      <c r="V33" s="6">
        <f>IF(S33&gt;=0,A33,"")</f>
        <v/>
      </c>
      <c r="W33" s="6">
        <f>IF(A33=0,0,$B$5*$B$7/100*$B$15/1000)</f>
        <v/>
      </c>
      <c r="X33" s="6">
        <f>W33*ratio_wtw</f>
        <v/>
      </c>
      <c r="Y33" s="6">
        <f>IF(A33=0,0,$B$5*$B$21/100*fe_elec/1000000)</f>
        <v/>
      </c>
    </row>
    <row r="34">
      <c r="A34">
        <f>A33+1</f>
        <v/>
      </c>
      <c r="B34" s="5">
        <f>IF(A34=0,$B$19+$B$20,0)</f>
        <v/>
      </c>
      <c r="C34" s="5">
        <f>IF(A34=$B$13,$B$12,0)</f>
        <v/>
      </c>
      <c r="D34" s="5">
        <f>IF(A34=0,0,$B$5*$B$21/100*prix_elec*(1+g_elec)^A34)</f>
        <v/>
      </c>
      <c r="E34" s="5">
        <f>IF(A34=0,0,$B$5*$B$11*(1+g_entretien)^A34)</f>
        <v/>
      </c>
      <c r="F34" s="5">
        <f>IF(A34=0,0,infra_entretien_pct*$B$14*(1+g_entretien)^A34)</f>
        <v/>
      </c>
      <c r="G34" s="5">
        <f>IF(A34=$B$4,$B$23+$B$24,0)</f>
        <v/>
      </c>
      <c r="H34" s="5">
        <f>B34-C34+D34+E34+F34-G34</f>
        <v/>
      </c>
      <c r="I34" s="5">
        <f>IF(A34=0,$B$18,0)</f>
        <v/>
      </c>
      <c r="J34" s="5">
        <f>IF(A34=0,0,$B$5*$B$7/100*prix_diesel*(1+g_diesel)^A34)</f>
        <v/>
      </c>
      <c r="K34" s="5">
        <f>IF(A34=0,0,$B$5*$B$8*(1+g_entretien)^A34)</f>
        <v/>
      </c>
      <c r="L34" s="5">
        <f>IF(A34=$B$4,$B$22,0)</f>
        <v/>
      </c>
      <c r="M34" s="5">
        <f>I34+J34+K34-L34</f>
        <v/>
      </c>
      <c r="N34" s="5">
        <f>M34-H34</f>
        <v/>
      </c>
      <c r="O34" s="5">
        <f>1/(1+taux_r)^A34</f>
        <v/>
      </c>
      <c r="P34" s="5">
        <f>H34*O34</f>
        <v/>
      </c>
      <c r="Q34" s="5">
        <f>M34*O34</f>
        <v/>
      </c>
      <c r="R34" s="5">
        <f>R33+N34</f>
        <v/>
      </c>
      <c r="S34" s="5">
        <f>S33+N34*O34</f>
        <v/>
      </c>
      <c r="T34" s="5">
        <f>IF(A34=0,0,$B$5*O34)</f>
        <v/>
      </c>
      <c r="U34" s="6">
        <f>IF(R34&gt;=0,A34,"")</f>
        <v/>
      </c>
      <c r="V34" s="6">
        <f>IF(S34&gt;=0,A34,"")</f>
        <v/>
      </c>
      <c r="W34" s="6">
        <f>IF(A34=0,0,$B$5*$B$7/100*$B$15/1000)</f>
        <v/>
      </c>
      <c r="X34" s="6">
        <f>W34*ratio_wtw</f>
        <v/>
      </c>
      <c r="Y34" s="6">
        <f>IF(A34=0,0,$B$5*$B$21/100*fe_elec/1000000)</f>
        <v/>
      </c>
    </row>
    <row r="35">
      <c r="A35">
        <f>A34+1</f>
        <v/>
      </c>
      <c r="B35" s="5">
        <f>IF(A35=0,$B$19+$B$20,0)</f>
        <v/>
      </c>
      <c r="C35" s="5">
        <f>IF(A35=$B$13,$B$12,0)</f>
        <v/>
      </c>
      <c r="D35" s="5">
        <f>IF(A35=0,0,$B$5*$B$21/100*prix_elec*(1+g_elec)^A35)</f>
        <v/>
      </c>
      <c r="E35" s="5">
        <f>IF(A35=0,0,$B$5*$B$11*(1+g_entretien)^A35)</f>
        <v/>
      </c>
      <c r="F35" s="5">
        <f>IF(A35=0,0,infra_entretien_pct*$B$14*(1+g_entretien)^A35)</f>
        <v/>
      </c>
      <c r="G35" s="5">
        <f>IF(A35=$B$4,$B$23+$B$24,0)</f>
        <v/>
      </c>
      <c r="H35" s="5">
        <f>B35-C35+D35+E35+F35-G35</f>
        <v/>
      </c>
      <c r="I35" s="5">
        <f>IF(A35=0,$B$18,0)</f>
        <v/>
      </c>
      <c r="J35" s="5">
        <f>IF(A35=0,0,$B$5*$B$7/100*prix_diesel*(1+g_diesel)^A35)</f>
        <v/>
      </c>
      <c r="K35" s="5">
        <f>IF(A35=0,0,$B$5*$B$8*(1+g_entretien)^A35)</f>
        <v/>
      </c>
      <c r="L35" s="5">
        <f>IF(A35=$B$4,$B$22,0)</f>
        <v/>
      </c>
      <c r="M35" s="5">
        <f>I35+J35+K35-L35</f>
        <v/>
      </c>
      <c r="N35" s="5">
        <f>M35-H35</f>
        <v/>
      </c>
      <c r="O35" s="5">
        <f>1/(1+taux_r)^A35</f>
        <v/>
      </c>
      <c r="P35" s="5">
        <f>H35*O35</f>
        <v/>
      </c>
      <c r="Q35" s="5">
        <f>M35*O35</f>
        <v/>
      </c>
      <c r="R35" s="5">
        <f>R34+N35</f>
        <v/>
      </c>
      <c r="S35" s="5">
        <f>S34+N35*O35</f>
        <v/>
      </c>
      <c r="T35" s="5">
        <f>IF(A35=0,0,$B$5*O35)</f>
        <v/>
      </c>
      <c r="U35" s="6">
        <f>IF(R35&gt;=0,A35,"")</f>
        <v/>
      </c>
      <c r="V35" s="6">
        <f>IF(S35&gt;=0,A35,"")</f>
        <v/>
      </c>
      <c r="W35" s="6">
        <f>IF(A35=0,0,$B$5*$B$7/100*$B$15/1000)</f>
        <v/>
      </c>
      <c r="X35" s="6">
        <f>W35*ratio_wtw</f>
        <v/>
      </c>
      <c r="Y35" s="6">
        <f>IF(A35=0,0,$B$5*$B$21/100*fe_elec/1000000)</f>
        <v/>
      </c>
    </row>
    <row r="36">
      <c r="A36">
        <f>A35+1</f>
        <v/>
      </c>
      <c r="B36" s="5">
        <f>IF(A36=0,$B$19+$B$20,0)</f>
        <v/>
      </c>
      <c r="C36" s="5">
        <f>IF(A36=$B$13,$B$12,0)</f>
        <v/>
      </c>
      <c r="D36" s="5">
        <f>IF(A36=0,0,$B$5*$B$21/100*prix_elec*(1+g_elec)^A36)</f>
        <v/>
      </c>
      <c r="E36" s="5">
        <f>IF(A36=0,0,$B$5*$B$11*(1+g_entretien)^A36)</f>
        <v/>
      </c>
      <c r="F36" s="5">
        <f>IF(A36=0,0,infra_entretien_pct*$B$14*(1+g_entretien)^A36)</f>
        <v/>
      </c>
      <c r="G36" s="5">
        <f>IF(A36=$B$4,$B$23+$B$24,0)</f>
        <v/>
      </c>
      <c r="H36" s="5">
        <f>B36-C36+D36+E36+F36-G36</f>
        <v/>
      </c>
      <c r="I36" s="5">
        <f>IF(A36=0,$B$18,0)</f>
        <v/>
      </c>
      <c r="J36" s="5">
        <f>IF(A36=0,0,$B$5*$B$7/100*prix_diesel*(1+g_diesel)^A36)</f>
        <v/>
      </c>
      <c r="K36" s="5">
        <f>IF(A36=0,0,$B$5*$B$8*(1+g_entretien)^A36)</f>
        <v/>
      </c>
      <c r="L36" s="5">
        <f>IF(A36=$B$4,$B$22,0)</f>
        <v/>
      </c>
      <c r="M36" s="5">
        <f>I36+J36+K36-L36</f>
        <v/>
      </c>
      <c r="N36" s="5">
        <f>M36-H36</f>
        <v/>
      </c>
      <c r="O36" s="5">
        <f>1/(1+taux_r)^A36</f>
        <v/>
      </c>
      <c r="P36" s="5">
        <f>H36*O36</f>
        <v/>
      </c>
      <c r="Q36" s="5">
        <f>M36*O36</f>
        <v/>
      </c>
      <c r="R36" s="5">
        <f>R35+N36</f>
        <v/>
      </c>
      <c r="S36" s="5">
        <f>S35+N36*O36</f>
        <v/>
      </c>
      <c r="T36" s="5">
        <f>IF(A36=0,0,$B$5*O36)</f>
        <v/>
      </c>
      <c r="U36" s="6">
        <f>IF(R36&gt;=0,A36,"")</f>
        <v/>
      </c>
      <c r="V36" s="6">
        <f>IF(S36&gt;=0,A36,"")</f>
        <v/>
      </c>
      <c r="W36" s="6">
        <f>IF(A36=0,0,$B$5*$B$7/100*$B$15/1000)</f>
        <v/>
      </c>
      <c r="X36" s="6">
        <f>W36*ratio_wtw</f>
        <v/>
      </c>
      <c r="Y36" s="6">
        <f>IF(A36=0,0,$B$5*$B$21/100*fe_elec/1000000)</f>
        <v/>
      </c>
    </row>
    <row r="37">
      <c r="A37">
        <f>A36+1</f>
        <v/>
      </c>
      <c r="B37" s="5">
        <f>IF(A37=0,$B$19+$B$20,0)</f>
        <v/>
      </c>
      <c r="C37" s="5">
        <f>IF(A37=$B$13,$B$12,0)</f>
        <v/>
      </c>
      <c r="D37" s="5">
        <f>IF(A37=0,0,$B$5*$B$21/100*prix_elec*(1+g_elec)^A37)</f>
        <v/>
      </c>
      <c r="E37" s="5">
        <f>IF(A37=0,0,$B$5*$B$11*(1+g_entretien)^A37)</f>
        <v/>
      </c>
      <c r="F37" s="5">
        <f>IF(A37=0,0,infra_entretien_pct*$B$14*(1+g_entretien)^A37)</f>
        <v/>
      </c>
      <c r="G37" s="5">
        <f>IF(A37=$B$4,$B$23+$B$24,0)</f>
        <v/>
      </c>
      <c r="H37" s="5">
        <f>B37-C37+D37+E37+F37-G37</f>
        <v/>
      </c>
      <c r="I37" s="5">
        <f>IF(A37=0,$B$18,0)</f>
        <v/>
      </c>
      <c r="J37" s="5">
        <f>IF(A37=0,0,$B$5*$B$7/100*prix_diesel*(1+g_diesel)^A37)</f>
        <v/>
      </c>
      <c r="K37" s="5">
        <f>IF(A37=0,0,$B$5*$B$8*(1+g_entretien)^A37)</f>
        <v/>
      </c>
      <c r="L37" s="5">
        <f>IF(A37=$B$4,$B$22,0)</f>
        <v/>
      </c>
      <c r="M37" s="5">
        <f>I37+J37+K37-L37</f>
        <v/>
      </c>
      <c r="N37" s="5">
        <f>M37-H37</f>
        <v/>
      </c>
      <c r="O37" s="5">
        <f>1/(1+taux_r)^A37</f>
        <v/>
      </c>
      <c r="P37" s="5">
        <f>H37*O37</f>
        <v/>
      </c>
      <c r="Q37" s="5">
        <f>M37*O37</f>
        <v/>
      </c>
      <c r="R37" s="5">
        <f>R36+N37</f>
        <v/>
      </c>
      <c r="S37" s="5">
        <f>S36+N37*O37</f>
        <v/>
      </c>
      <c r="T37" s="5">
        <f>IF(A37=0,0,$B$5*O37)</f>
        <v/>
      </c>
      <c r="U37" s="6">
        <f>IF(R37&gt;=0,A37,"")</f>
        <v/>
      </c>
      <c r="V37" s="6">
        <f>IF(S37&gt;=0,A37,"")</f>
        <v/>
      </c>
      <c r="W37" s="6">
        <f>IF(A37=0,0,$B$5*$B$7/100*$B$15/1000)</f>
        <v/>
      </c>
      <c r="X37" s="6">
        <f>W37*ratio_wtw</f>
        <v/>
      </c>
      <c r="Y37" s="6">
        <f>IF(A37=0,0,$B$5*$B$21/100*fe_elec/1000000)</f>
        <v/>
      </c>
    </row>
    <row r="38">
      <c r="A38">
        <f>A37+1</f>
        <v/>
      </c>
      <c r="B38" s="5">
        <f>IF(A38=0,$B$19+$B$20,0)</f>
        <v/>
      </c>
      <c r="C38" s="5">
        <f>IF(A38=$B$13,$B$12,0)</f>
        <v/>
      </c>
      <c r="D38" s="5">
        <f>IF(A38=0,0,$B$5*$B$21/100*prix_elec*(1+g_elec)^A38)</f>
        <v/>
      </c>
      <c r="E38" s="5">
        <f>IF(A38=0,0,$B$5*$B$11*(1+g_entretien)^A38)</f>
        <v/>
      </c>
      <c r="F38" s="5">
        <f>IF(A38=0,0,infra_entretien_pct*$B$14*(1+g_entretien)^A38)</f>
        <v/>
      </c>
      <c r="G38" s="5">
        <f>IF(A38=$B$4,$B$23+$B$24,0)</f>
        <v/>
      </c>
      <c r="H38" s="5">
        <f>B38-C38+D38+E38+F38-G38</f>
        <v/>
      </c>
      <c r="I38" s="5">
        <f>IF(A38=0,$B$18,0)</f>
        <v/>
      </c>
      <c r="J38" s="5">
        <f>IF(A38=0,0,$B$5*$B$7/100*prix_diesel*(1+g_diesel)^A38)</f>
        <v/>
      </c>
      <c r="K38" s="5">
        <f>IF(A38=0,0,$B$5*$B$8*(1+g_entretien)^A38)</f>
        <v/>
      </c>
      <c r="L38" s="5">
        <f>IF(A38=$B$4,$B$22,0)</f>
        <v/>
      </c>
      <c r="M38" s="5">
        <f>I38+J38+K38-L38</f>
        <v/>
      </c>
      <c r="N38" s="5">
        <f>M38-H38</f>
        <v/>
      </c>
      <c r="O38" s="5">
        <f>1/(1+taux_r)^A38</f>
        <v/>
      </c>
      <c r="P38" s="5">
        <f>H38*O38</f>
        <v/>
      </c>
      <c r="Q38" s="5">
        <f>M38*O38</f>
        <v/>
      </c>
      <c r="R38" s="5">
        <f>R37+N38</f>
        <v/>
      </c>
      <c r="S38" s="5">
        <f>S37+N38*O38</f>
        <v/>
      </c>
      <c r="T38" s="5">
        <f>IF(A38=0,0,$B$5*O38)</f>
        <v/>
      </c>
      <c r="U38" s="6">
        <f>IF(R38&gt;=0,A38,"")</f>
        <v/>
      </c>
      <c r="V38" s="6">
        <f>IF(S38&gt;=0,A38,"")</f>
        <v/>
      </c>
      <c r="W38" s="6">
        <f>IF(A38=0,0,$B$5*$B$7/100*$B$15/1000)</f>
        <v/>
      </c>
      <c r="X38" s="6">
        <f>W38*ratio_wtw</f>
        <v/>
      </c>
      <c r="Y38" s="6">
        <f>IF(A38=0,0,$B$5*$B$21/100*fe_elec/1000000)</f>
        <v/>
      </c>
    </row>
    <row r="40">
      <c r="A40" s="2" t="inlineStr">
        <is>
          <t>Résultats (formules)</t>
        </is>
      </c>
    </row>
    <row r="41">
      <c r="A41" s="2" t="inlineStr">
        <is>
          <t>TCO actualisé — alternative ($)</t>
        </is>
      </c>
      <c r="B41" s="4">
        <f>SUM(P28:P38)</f>
        <v/>
      </c>
    </row>
    <row r="42">
      <c r="A42" s="2" t="inlineStr">
        <is>
          <t>TCO actualisé — référence ($)</t>
        </is>
      </c>
      <c r="B42" s="4">
        <f>SUM(Q28:Q38)</f>
        <v/>
      </c>
    </row>
    <row r="43">
      <c r="A43" s="2" t="inlineStr">
        <is>
          <t>VAN différentielle réf − alt ($)</t>
        </is>
      </c>
      <c r="B43" s="4">
        <f>B42-B41</f>
        <v/>
      </c>
    </row>
    <row r="44">
      <c r="A44" s="2" t="inlineStr">
        <is>
          <t>km actualisés</t>
        </is>
      </c>
      <c r="B44" s="4">
        <f>SUM(T28:T38)</f>
        <v/>
      </c>
    </row>
    <row r="45">
      <c r="A45" s="2" t="inlineStr">
        <is>
          <t>TCO/km actualisé — alternative ($/km)</t>
        </is>
      </c>
      <c r="B45" s="4">
        <f>B41/B44</f>
        <v/>
      </c>
    </row>
    <row r="46">
      <c r="A46" s="2" t="inlineStr">
        <is>
          <t>TCO/km actualisé — référence ($/km)</t>
        </is>
      </c>
      <c r="B46" s="4">
        <f>B42/B44</f>
        <v/>
      </c>
    </row>
    <row r="47">
      <c r="A47" s="2" t="inlineStr">
        <is>
          <t>Délai de récupération simple (années)</t>
        </is>
      </c>
      <c r="B47" s="4">
        <f>IF(COUNT(U28:U38)=0,"null : jamais atteint sur l'horizon",MIN(U28:U38))</f>
        <v/>
      </c>
    </row>
    <row r="48">
      <c r="A48" s="2" t="inlineStr">
        <is>
          <t>Délai de récupération actualisé (années)</t>
        </is>
      </c>
      <c r="B48" s="4">
        <f>IF(COUNT(V28:V38)=0,"null : jamais atteint sur l'horizon",MIN(V28:V38))</f>
        <v/>
      </c>
    </row>
    <row r="49">
      <c r="A49" s="2" t="inlineStr">
        <is>
          <t>CO2e évité cumulé TTW (t)</t>
        </is>
      </c>
      <c r="B49" s="4">
        <f>SUM(W28:W38)</f>
        <v/>
      </c>
    </row>
    <row r="50">
      <c r="A50" s="2" t="inlineStr">
        <is>
          <t>CO2e évité cumulé WTW (t)</t>
        </is>
      </c>
      <c r="B50" s="4">
        <f>SUM(X28:X38)-SUM(Y28:Y38)</f>
        <v/>
      </c>
    </row>
    <row r="51">
      <c r="A51" s="2" t="inlineStr">
        <is>
          <t>Coût (+) ou gain (−) par tonne WTW évitée ($/t)</t>
        </is>
      </c>
      <c r="B51" s="4">
        <f>(B41-B42)/B50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Cas 2 — Autobus urbain 12 m BEV</t>
        </is>
      </c>
    </row>
    <row r="3">
      <c r="A3" s="2" t="inlineStr">
        <is>
          <t>Entrées du cas (constantes)</t>
        </is>
      </c>
    </row>
    <row r="4">
      <c r="A4" t="inlineStr">
        <is>
          <t>Horizon H (années)</t>
        </is>
      </c>
      <c r="B4" s="3" t="n">
        <v>10</v>
      </c>
      <c r="C4" t="inlineStr">
        <is>
          <t>ans</t>
        </is>
      </c>
    </row>
    <row r="5">
      <c r="A5" t="inlineStr">
        <is>
          <t>Kilométrage annuel</t>
        </is>
      </c>
      <c r="B5" s="3" t="n">
        <v>60000</v>
      </c>
      <c r="C5" t="inlineStr">
        <is>
          <t>km/an</t>
        </is>
      </c>
    </row>
    <row r="6">
      <c r="A6" t="inlineStr">
        <is>
          <t>Prix réf (diesel) avant taxes</t>
        </is>
      </c>
      <c r="B6" s="3" t="n">
        <v>750000</v>
      </c>
      <c r="C6" t="inlineStr">
        <is>
          <t>$</t>
        </is>
      </c>
    </row>
    <row r="7">
      <c r="A7" t="inlineStr">
        <is>
          <t>Conso réf</t>
        </is>
      </c>
      <c r="B7" s="3" t="n">
        <v>45</v>
      </c>
      <c r="C7" t="inlineStr">
        <is>
          <t>L/100 km</t>
        </is>
      </c>
    </row>
    <row r="8">
      <c r="A8" t="inlineStr">
        <is>
          <t>Entretien réf</t>
        </is>
      </c>
      <c r="B8" s="3" t="n">
        <v>0.95</v>
      </c>
      <c r="C8" t="inlineStr">
        <is>
          <t>$/km</t>
        </is>
      </c>
    </row>
    <row r="9">
      <c r="A9" t="inlineStr">
        <is>
          <t>Prix alt avant taxes</t>
        </is>
      </c>
      <c r="B9" s="3" t="n">
        <v>1720000</v>
      </c>
      <c r="C9" t="inlineStr">
        <is>
          <t>$</t>
        </is>
      </c>
    </row>
    <row r="10">
      <c r="A10" t="inlineStr">
        <is>
          <t>Conso alt</t>
        </is>
      </c>
      <c r="B10" s="3" t="n">
        <v>140</v>
      </c>
      <c r="C10" t="inlineStr">
        <is>
          <t>kWh/100 km</t>
        </is>
      </c>
    </row>
    <row r="11">
      <c r="A11" t="inlineStr">
        <is>
          <t>Entretien alt</t>
        </is>
      </c>
      <c r="B11" s="3" t="n">
        <v>0.7</v>
      </c>
      <c r="C11" t="inlineStr">
        <is>
          <t>$/km</t>
        </is>
      </c>
    </row>
    <row r="12">
      <c r="A12" t="inlineStr">
        <is>
          <t>Subvention (montant)</t>
        </is>
      </c>
      <c r="B12" s="3" t="n">
        <v>0</v>
      </c>
      <c r="C12" t="inlineStr">
        <is>
          <t>$</t>
        </is>
      </c>
    </row>
    <row r="13">
      <c r="A13" t="inlineStr">
        <is>
          <t>Subvention (année de versement)</t>
        </is>
      </c>
      <c r="B13" s="3" t="n">
        <v>1</v>
      </c>
      <c r="C13" t="inlineStr">
        <is>
          <t>année</t>
        </is>
      </c>
    </row>
    <row r="14">
      <c r="A14" t="inlineStr">
        <is>
          <t>Infra — capex avant taxes</t>
        </is>
      </c>
      <c r="B14" s="3" t="n">
        <v>250000</v>
      </c>
      <c r="C14" t="inlineStr">
        <is>
          <t>$</t>
        </is>
      </c>
    </row>
    <row r="15">
      <c r="A15" t="inlineStr">
        <is>
          <t>FE diesel TTW (choix catégorie)</t>
        </is>
      </c>
      <c r="B15" s="4">
        <f>fe_lourd</f>
        <v/>
      </c>
      <c r="C15" t="inlineStr">
        <is>
          <t>kg CO2e/L</t>
        </is>
      </c>
    </row>
    <row r="17">
      <c r="A17" s="2" t="inlineStr">
        <is>
          <t>Valeurs dérivées (formules)</t>
        </is>
      </c>
    </row>
    <row r="18">
      <c r="A18" t="inlineStr">
        <is>
          <t>Prix réf avec taxes non récupérables</t>
        </is>
      </c>
      <c r="B18" s="4">
        <f>$B$6*(1+taux_taxes)</f>
        <v/>
      </c>
    </row>
    <row r="19">
      <c r="A19" t="inlineStr">
        <is>
          <t>Prix alt avec taxes non récupérables</t>
        </is>
      </c>
      <c r="B19" s="4">
        <f>$B$9*(1+taux_taxes)</f>
        <v/>
      </c>
    </row>
    <row r="20">
      <c r="A20" t="inlineStr">
        <is>
          <t>Infra avec taxes non récupérables</t>
        </is>
      </c>
      <c r="B20" s="4">
        <f>$B$14*(1+taux_taxes)</f>
        <v/>
      </c>
    </row>
    <row r="21">
      <c r="A21" t="inlineStr">
        <is>
          <t>Conso alt facturée (compteur ou pompe) /100 km</t>
        </is>
      </c>
      <c r="B21" s="4">
        <f>$B$10*fact_hiver/rendement</f>
        <v/>
      </c>
    </row>
    <row r="22">
      <c r="A22" t="inlineStr">
        <is>
          <t>VR réf fin d'horizon (avant taxes, nominale)</t>
        </is>
      </c>
      <c r="B22" s="4">
        <f>MAX($B$6*(1-d_diesel)^$B$4,plancher_vr*$B$6)</f>
        <v/>
      </c>
    </row>
    <row r="23">
      <c r="A23" t="inlineStr">
        <is>
          <t>VR alt fin d'horizon (avant taxes, nominale)</t>
        </is>
      </c>
      <c r="B23" s="4">
        <f>MAX($B$9*(1-d_bev)^$B$4,plancher_vr*$B$9)</f>
        <v/>
      </c>
    </row>
    <row r="24">
      <c r="A24" t="inlineStr">
        <is>
          <t>VR infra fin d'horizon (linéaire sur 15 ans)</t>
        </is>
      </c>
      <c r="B24" s="4">
        <f>IF($B$14&gt;0,$B$14*(duree_vie_infra-$B$4)/duree_vie_infra,0)</f>
        <v/>
      </c>
    </row>
    <row r="27">
      <c r="A27" s="2" t="inlineStr">
        <is>
          <t>n</t>
        </is>
      </c>
      <c r="B27" s="2" t="inlineStr">
        <is>
          <t>Acquisition alt</t>
        </is>
      </c>
      <c r="C27" s="2" t="inlineStr">
        <is>
          <t>Subventions</t>
        </is>
      </c>
      <c r="D27" s="2" t="inlineStr">
        <is>
          <t>Énergie alt</t>
        </is>
      </c>
      <c r="E27" s="2" t="inlineStr">
        <is>
          <t>Entretien alt</t>
        </is>
      </c>
      <c r="F27" s="2" t="inlineStr">
        <is>
          <t>Opex infra</t>
        </is>
      </c>
      <c r="G27" s="2" t="inlineStr">
        <is>
          <t>Résiduels alt</t>
        </is>
      </c>
      <c r="H27" s="2" t="inlineStr">
        <is>
          <t>Flux net alt</t>
        </is>
      </c>
      <c r="I27" s="2" t="inlineStr">
        <is>
          <t>Acquisition réf</t>
        </is>
      </c>
      <c r="J27" s="2" t="inlineStr">
        <is>
          <t>Énergie réf</t>
        </is>
      </c>
      <c r="K27" s="2" t="inlineStr">
        <is>
          <t>Entretien réf</t>
        </is>
      </c>
      <c r="L27" s="2" t="inlineStr">
        <is>
          <t>Résiduels réf</t>
        </is>
      </c>
      <c r="M27" s="2" t="inlineStr">
        <is>
          <t>Flux net réf</t>
        </is>
      </c>
      <c r="N27" s="2" t="inlineStr">
        <is>
          <t>Économie nominale</t>
        </is>
      </c>
      <c r="O27" s="2" t="inlineStr">
        <is>
          <t>Facteur actualisation</t>
        </is>
      </c>
      <c r="P27" s="2" t="inlineStr">
        <is>
          <t>Flux act. alt</t>
        </is>
      </c>
      <c r="Q27" s="2" t="inlineStr">
        <is>
          <t>Flux act. réf</t>
        </is>
      </c>
      <c r="R27" s="2" t="inlineStr">
        <is>
          <t>Cumul économie nominale</t>
        </is>
      </c>
      <c r="S27" s="2" t="inlineStr">
        <is>
          <t>Cumul économie actualisée</t>
        </is>
      </c>
      <c r="T27" s="2" t="inlineStr">
        <is>
          <t>km actualisés</t>
        </is>
      </c>
      <c r="U27" s="2" t="inlineStr">
        <is>
          <t>n si cumul nominal &gt;= 0</t>
        </is>
      </c>
      <c r="V27" s="2" t="inlineStr">
        <is>
          <t>n si cumul actualisé &gt;= 0</t>
        </is>
      </c>
      <c r="W27" s="2" t="inlineStr">
        <is>
          <t>TTW réf (t)</t>
        </is>
      </c>
      <c r="X27" s="2" t="inlineStr">
        <is>
          <t>WTW réf (t)</t>
        </is>
      </c>
      <c r="Y27" s="2" t="inlineStr">
        <is>
          <t>WTW alt (t)</t>
        </is>
      </c>
    </row>
    <row r="28">
      <c r="A28" t="n">
        <v>0</v>
      </c>
      <c r="B28" s="5">
        <f>IF(A28=0,$B$19+$B$20,0)</f>
        <v/>
      </c>
      <c r="C28" s="5">
        <f>IF(A28=$B$13,$B$12,0)</f>
        <v/>
      </c>
      <c r="D28" s="5">
        <f>IF(A28=0,0,$B$5*$B$21/100*prix_elec*(1+g_elec)^A28)</f>
        <v/>
      </c>
      <c r="E28" s="5">
        <f>IF(A28=0,0,$B$5*$B$11*(1+g_entretien)^A28)</f>
        <v/>
      </c>
      <c r="F28" s="5">
        <f>IF(A28=0,0,infra_entretien_pct*$B$14*(1+g_entretien)^A28)</f>
        <v/>
      </c>
      <c r="G28" s="5">
        <f>IF(A28=$B$4,$B$23+$B$24,0)</f>
        <v/>
      </c>
      <c r="H28" s="5">
        <f>B28-C28+D28+E28+F28-G28</f>
        <v/>
      </c>
      <c r="I28" s="5">
        <f>IF(A28=0,$B$18,0)</f>
        <v/>
      </c>
      <c r="J28" s="5">
        <f>IF(A28=0,0,$B$5*$B$7/100*prix_diesel*(1+g_diesel)^A28)</f>
        <v/>
      </c>
      <c r="K28" s="5">
        <f>IF(A28=0,0,$B$5*$B$8*(1+g_entretien)^A28)</f>
        <v/>
      </c>
      <c r="L28" s="5">
        <f>IF(A28=$B$4,$B$22,0)</f>
        <v/>
      </c>
      <c r="M28" s="5">
        <f>I28+J28+K28-L28</f>
        <v/>
      </c>
      <c r="N28" s="5">
        <f>M28-H28</f>
        <v/>
      </c>
      <c r="O28" s="5">
        <f>1/(1+taux_r)^A28</f>
        <v/>
      </c>
      <c r="P28" s="5">
        <f>H28*O28</f>
        <v/>
      </c>
      <c r="Q28" s="5">
        <f>M28*O28</f>
        <v/>
      </c>
      <c r="R28" s="5">
        <f>N28</f>
        <v/>
      </c>
      <c r="S28" s="5">
        <f>N28*O28</f>
        <v/>
      </c>
      <c r="T28" s="5">
        <f>IF(A28=0,0,$B$5*O28)</f>
        <v/>
      </c>
      <c r="U28" s="6">
        <f>IF(R28&gt;=0,A28,"")</f>
        <v/>
      </c>
      <c r="V28" s="6">
        <f>IF(S28&gt;=0,A28,"")</f>
        <v/>
      </c>
      <c r="W28" s="6">
        <f>IF(A28=0,0,$B$5*$B$7/100*$B$15/1000)</f>
        <v/>
      </c>
      <c r="X28" s="6">
        <f>W28*ratio_wtw</f>
        <v/>
      </c>
      <c r="Y28" s="6">
        <f>IF(A28=0,0,$B$5*$B$21/100*fe_elec/1000000)</f>
        <v/>
      </c>
    </row>
    <row r="29">
      <c r="A29">
        <f>A28+1</f>
        <v/>
      </c>
      <c r="B29" s="5">
        <f>IF(A29=0,$B$19+$B$20,0)</f>
        <v/>
      </c>
      <c r="C29" s="5">
        <f>IF(A29=$B$13,$B$12,0)</f>
        <v/>
      </c>
      <c r="D29" s="5">
        <f>IF(A29=0,0,$B$5*$B$21/100*prix_elec*(1+g_elec)^A29)</f>
        <v/>
      </c>
      <c r="E29" s="5">
        <f>IF(A29=0,0,$B$5*$B$11*(1+g_entretien)^A29)</f>
        <v/>
      </c>
      <c r="F29" s="5">
        <f>IF(A29=0,0,infra_entretien_pct*$B$14*(1+g_entretien)^A29)</f>
        <v/>
      </c>
      <c r="G29" s="5">
        <f>IF(A29=$B$4,$B$23+$B$24,0)</f>
        <v/>
      </c>
      <c r="H29" s="5">
        <f>B29-C29+D29+E29+F29-G29</f>
        <v/>
      </c>
      <c r="I29" s="5">
        <f>IF(A29=0,$B$18,0)</f>
        <v/>
      </c>
      <c r="J29" s="5">
        <f>IF(A29=0,0,$B$5*$B$7/100*prix_diesel*(1+g_diesel)^A29)</f>
        <v/>
      </c>
      <c r="K29" s="5">
        <f>IF(A29=0,0,$B$5*$B$8*(1+g_entretien)^A29)</f>
        <v/>
      </c>
      <c r="L29" s="5">
        <f>IF(A29=$B$4,$B$22,0)</f>
        <v/>
      </c>
      <c r="M29" s="5">
        <f>I29+J29+K29-L29</f>
        <v/>
      </c>
      <c r="N29" s="5">
        <f>M29-H29</f>
        <v/>
      </c>
      <c r="O29" s="5">
        <f>1/(1+taux_r)^A29</f>
        <v/>
      </c>
      <c r="P29" s="5">
        <f>H29*O29</f>
        <v/>
      </c>
      <c r="Q29" s="5">
        <f>M29*O29</f>
        <v/>
      </c>
      <c r="R29" s="5">
        <f>R28+N29</f>
        <v/>
      </c>
      <c r="S29" s="5">
        <f>S28+N29*O29</f>
        <v/>
      </c>
      <c r="T29" s="5">
        <f>IF(A29=0,0,$B$5*O29)</f>
        <v/>
      </c>
      <c r="U29" s="6">
        <f>IF(R29&gt;=0,A29,"")</f>
        <v/>
      </c>
      <c r="V29" s="6">
        <f>IF(S29&gt;=0,A29,"")</f>
        <v/>
      </c>
      <c r="W29" s="6">
        <f>IF(A29=0,0,$B$5*$B$7/100*$B$15/1000)</f>
        <v/>
      </c>
      <c r="X29" s="6">
        <f>W29*ratio_wtw</f>
        <v/>
      </c>
      <c r="Y29" s="6">
        <f>IF(A29=0,0,$B$5*$B$21/100*fe_elec/1000000)</f>
        <v/>
      </c>
    </row>
    <row r="30">
      <c r="A30">
        <f>A29+1</f>
        <v/>
      </c>
      <c r="B30" s="5">
        <f>IF(A30=0,$B$19+$B$20,0)</f>
        <v/>
      </c>
      <c r="C30" s="5">
        <f>IF(A30=$B$13,$B$12,0)</f>
        <v/>
      </c>
      <c r="D30" s="5">
        <f>IF(A30=0,0,$B$5*$B$21/100*prix_elec*(1+g_elec)^A30)</f>
        <v/>
      </c>
      <c r="E30" s="5">
        <f>IF(A30=0,0,$B$5*$B$11*(1+g_entretien)^A30)</f>
        <v/>
      </c>
      <c r="F30" s="5">
        <f>IF(A30=0,0,infra_entretien_pct*$B$14*(1+g_entretien)^A30)</f>
        <v/>
      </c>
      <c r="G30" s="5">
        <f>IF(A30=$B$4,$B$23+$B$24,0)</f>
        <v/>
      </c>
      <c r="H30" s="5">
        <f>B30-C30+D30+E30+F30-G30</f>
        <v/>
      </c>
      <c r="I30" s="5">
        <f>IF(A30=0,$B$18,0)</f>
        <v/>
      </c>
      <c r="J30" s="5">
        <f>IF(A30=0,0,$B$5*$B$7/100*prix_diesel*(1+g_diesel)^A30)</f>
        <v/>
      </c>
      <c r="K30" s="5">
        <f>IF(A30=0,0,$B$5*$B$8*(1+g_entretien)^A30)</f>
        <v/>
      </c>
      <c r="L30" s="5">
        <f>IF(A30=$B$4,$B$22,0)</f>
        <v/>
      </c>
      <c r="M30" s="5">
        <f>I30+J30+K30-L30</f>
        <v/>
      </c>
      <c r="N30" s="5">
        <f>M30-H30</f>
        <v/>
      </c>
      <c r="O30" s="5">
        <f>1/(1+taux_r)^A30</f>
        <v/>
      </c>
      <c r="P30" s="5">
        <f>H30*O30</f>
        <v/>
      </c>
      <c r="Q30" s="5">
        <f>M30*O30</f>
        <v/>
      </c>
      <c r="R30" s="5">
        <f>R29+N30</f>
        <v/>
      </c>
      <c r="S30" s="5">
        <f>S29+N30*O30</f>
        <v/>
      </c>
      <c r="T30" s="5">
        <f>IF(A30=0,0,$B$5*O30)</f>
        <v/>
      </c>
      <c r="U30" s="6">
        <f>IF(R30&gt;=0,A30,"")</f>
        <v/>
      </c>
      <c r="V30" s="6">
        <f>IF(S30&gt;=0,A30,"")</f>
        <v/>
      </c>
      <c r="W30" s="6">
        <f>IF(A30=0,0,$B$5*$B$7/100*$B$15/1000)</f>
        <v/>
      </c>
      <c r="X30" s="6">
        <f>W30*ratio_wtw</f>
        <v/>
      </c>
      <c r="Y30" s="6">
        <f>IF(A30=0,0,$B$5*$B$21/100*fe_elec/1000000)</f>
        <v/>
      </c>
    </row>
    <row r="31">
      <c r="A31">
        <f>A30+1</f>
        <v/>
      </c>
      <c r="B31" s="5">
        <f>IF(A31=0,$B$19+$B$20,0)</f>
        <v/>
      </c>
      <c r="C31" s="5">
        <f>IF(A31=$B$13,$B$12,0)</f>
        <v/>
      </c>
      <c r="D31" s="5">
        <f>IF(A31=0,0,$B$5*$B$21/100*prix_elec*(1+g_elec)^A31)</f>
        <v/>
      </c>
      <c r="E31" s="5">
        <f>IF(A31=0,0,$B$5*$B$11*(1+g_entretien)^A31)</f>
        <v/>
      </c>
      <c r="F31" s="5">
        <f>IF(A31=0,0,infra_entretien_pct*$B$14*(1+g_entretien)^A31)</f>
        <v/>
      </c>
      <c r="G31" s="5">
        <f>IF(A31=$B$4,$B$23+$B$24,0)</f>
        <v/>
      </c>
      <c r="H31" s="5">
        <f>B31-C31+D31+E31+F31-G31</f>
        <v/>
      </c>
      <c r="I31" s="5">
        <f>IF(A31=0,$B$18,0)</f>
        <v/>
      </c>
      <c r="J31" s="5">
        <f>IF(A31=0,0,$B$5*$B$7/100*prix_diesel*(1+g_diesel)^A31)</f>
        <v/>
      </c>
      <c r="K31" s="5">
        <f>IF(A31=0,0,$B$5*$B$8*(1+g_entretien)^A31)</f>
        <v/>
      </c>
      <c r="L31" s="5">
        <f>IF(A31=$B$4,$B$22,0)</f>
        <v/>
      </c>
      <c r="M31" s="5">
        <f>I31+J31+K31-L31</f>
        <v/>
      </c>
      <c r="N31" s="5">
        <f>M31-H31</f>
        <v/>
      </c>
      <c r="O31" s="5">
        <f>1/(1+taux_r)^A31</f>
        <v/>
      </c>
      <c r="P31" s="5">
        <f>H31*O31</f>
        <v/>
      </c>
      <c r="Q31" s="5">
        <f>M31*O31</f>
        <v/>
      </c>
      <c r="R31" s="5">
        <f>R30+N31</f>
        <v/>
      </c>
      <c r="S31" s="5">
        <f>S30+N31*O31</f>
        <v/>
      </c>
      <c r="T31" s="5">
        <f>IF(A31=0,0,$B$5*O31)</f>
        <v/>
      </c>
      <c r="U31" s="6">
        <f>IF(R31&gt;=0,A31,"")</f>
        <v/>
      </c>
      <c r="V31" s="6">
        <f>IF(S31&gt;=0,A31,"")</f>
        <v/>
      </c>
      <c r="W31" s="6">
        <f>IF(A31=0,0,$B$5*$B$7/100*$B$15/1000)</f>
        <v/>
      </c>
      <c r="X31" s="6">
        <f>W31*ratio_wtw</f>
        <v/>
      </c>
      <c r="Y31" s="6">
        <f>IF(A31=0,0,$B$5*$B$21/100*fe_elec/1000000)</f>
        <v/>
      </c>
    </row>
    <row r="32">
      <c r="A32">
        <f>A31+1</f>
        <v/>
      </c>
      <c r="B32" s="5">
        <f>IF(A32=0,$B$19+$B$20,0)</f>
        <v/>
      </c>
      <c r="C32" s="5">
        <f>IF(A32=$B$13,$B$12,0)</f>
        <v/>
      </c>
      <c r="D32" s="5">
        <f>IF(A32=0,0,$B$5*$B$21/100*prix_elec*(1+g_elec)^A32)</f>
        <v/>
      </c>
      <c r="E32" s="5">
        <f>IF(A32=0,0,$B$5*$B$11*(1+g_entretien)^A32)</f>
        <v/>
      </c>
      <c r="F32" s="5">
        <f>IF(A32=0,0,infra_entretien_pct*$B$14*(1+g_entretien)^A32)</f>
        <v/>
      </c>
      <c r="G32" s="5">
        <f>IF(A32=$B$4,$B$23+$B$24,0)</f>
        <v/>
      </c>
      <c r="H32" s="5">
        <f>B32-C32+D32+E32+F32-G32</f>
        <v/>
      </c>
      <c r="I32" s="5">
        <f>IF(A32=0,$B$18,0)</f>
        <v/>
      </c>
      <c r="J32" s="5">
        <f>IF(A32=0,0,$B$5*$B$7/100*prix_diesel*(1+g_diesel)^A32)</f>
        <v/>
      </c>
      <c r="K32" s="5">
        <f>IF(A32=0,0,$B$5*$B$8*(1+g_entretien)^A32)</f>
        <v/>
      </c>
      <c r="L32" s="5">
        <f>IF(A32=$B$4,$B$22,0)</f>
        <v/>
      </c>
      <c r="M32" s="5">
        <f>I32+J32+K32-L32</f>
        <v/>
      </c>
      <c r="N32" s="5">
        <f>M32-H32</f>
        <v/>
      </c>
      <c r="O32" s="5">
        <f>1/(1+taux_r)^A32</f>
        <v/>
      </c>
      <c r="P32" s="5">
        <f>H32*O32</f>
        <v/>
      </c>
      <c r="Q32" s="5">
        <f>M32*O32</f>
        <v/>
      </c>
      <c r="R32" s="5">
        <f>R31+N32</f>
        <v/>
      </c>
      <c r="S32" s="5">
        <f>S31+N32*O32</f>
        <v/>
      </c>
      <c r="T32" s="5">
        <f>IF(A32=0,0,$B$5*O32)</f>
        <v/>
      </c>
      <c r="U32" s="6">
        <f>IF(R32&gt;=0,A32,"")</f>
        <v/>
      </c>
      <c r="V32" s="6">
        <f>IF(S32&gt;=0,A32,"")</f>
        <v/>
      </c>
      <c r="W32" s="6">
        <f>IF(A32=0,0,$B$5*$B$7/100*$B$15/1000)</f>
        <v/>
      </c>
      <c r="X32" s="6">
        <f>W32*ratio_wtw</f>
        <v/>
      </c>
      <c r="Y32" s="6">
        <f>IF(A32=0,0,$B$5*$B$21/100*fe_elec/1000000)</f>
        <v/>
      </c>
    </row>
    <row r="33">
      <c r="A33">
        <f>A32+1</f>
        <v/>
      </c>
      <c r="B33" s="5">
        <f>IF(A33=0,$B$19+$B$20,0)</f>
        <v/>
      </c>
      <c r="C33" s="5">
        <f>IF(A33=$B$13,$B$12,0)</f>
        <v/>
      </c>
      <c r="D33" s="5">
        <f>IF(A33=0,0,$B$5*$B$21/100*prix_elec*(1+g_elec)^A33)</f>
        <v/>
      </c>
      <c r="E33" s="5">
        <f>IF(A33=0,0,$B$5*$B$11*(1+g_entretien)^A33)</f>
        <v/>
      </c>
      <c r="F33" s="5">
        <f>IF(A33=0,0,infra_entretien_pct*$B$14*(1+g_entretien)^A33)</f>
        <v/>
      </c>
      <c r="G33" s="5">
        <f>IF(A33=$B$4,$B$23+$B$24,0)</f>
        <v/>
      </c>
      <c r="H33" s="5">
        <f>B33-C33+D33+E33+F33-G33</f>
        <v/>
      </c>
      <c r="I33" s="5">
        <f>IF(A33=0,$B$18,0)</f>
        <v/>
      </c>
      <c r="J33" s="5">
        <f>IF(A33=0,0,$B$5*$B$7/100*prix_diesel*(1+g_diesel)^A33)</f>
        <v/>
      </c>
      <c r="K33" s="5">
        <f>IF(A33=0,0,$B$5*$B$8*(1+g_entretien)^A33)</f>
        <v/>
      </c>
      <c r="L33" s="5">
        <f>IF(A33=$B$4,$B$22,0)</f>
        <v/>
      </c>
      <c r="M33" s="5">
        <f>I33+J33+K33-L33</f>
        <v/>
      </c>
      <c r="N33" s="5">
        <f>M33-H33</f>
        <v/>
      </c>
      <c r="O33" s="5">
        <f>1/(1+taux_r)^A33</f>
        <v/>
      </c>
      <c r="P33" s="5">
        <f>H33*O33</f>
        <v/>
      </c>
      <c r="Q33" s="5">
        <f>M33*O33</f>
        <v/>
      </c>
      <c r="R33" s="5">
        <f>R32+N33</f>
        <v/>
      </c>
      <c r="S33" s="5">
        <f>S32+N33*O33</f>
        <v/>
      </c>
      <c r="T33" s="5">
        <f>IF(A33=0,0,$B$5*O33)</f>
        <v/>
      </c>
      <c r="U33" s="6">
        <f>IF(R33&gt;=0,A33,"")</f>
        <v/>
      </c>
      <c r="V33" s="6">
        <f>IF(S33&gt;=0,A33,"")</f>
        <v/>
      </c>
      <c r="W33" s="6">
        <f>IF(A33=0,0,$B$5*$B$7/100*$B$15/1000)</f>
        <v/>
      </c>
      <c r="X33" s="6">
        <f>W33*ratio_wtw</f>
        <v/>
      </c>
      <c r="Y33" s="6">
        <f>IF(A33=0,0,$B$5*$B$21/100*fe_elec/1000000)</f>
        <v/>
      </c>
    </row>
    <row r="34">
      <c r="A34">
        <f>A33+1</f>
        <v/>
      </c>
      <c r="B34" s="5">
        <f>IF(A34=0,$B$19+$B$20,0)</f>
        <v/>
      </c>
      <c r="C34" s="5">
        <f>IF(A34=$B$13,$B$12,0)</f>
        <v/>
      </c>
      <c r="D34" s="5">
        <f>IF(A34=0,0,$B$5*$B$21/100*prix_elec*(1+g_elec)^A34)</f>
        <v/>
      </c>
      <c r="E34" s="5">
        <f>IF(A34=0,0,$B$5*$B$11*(1+g_entretien)^A34)</f>
        <v/>
      </c>
      <c r="F34" s="5">
        <f>IF(A34=0,0,infra_entretien_pct*$B$14*(1+g_entretien)^A34)</f>
        <v/>
      </c>
      <c r="G34" s="5">
        <f>IF(A34=$B$4,$B$23+$B$24,0)</f>
        <v/>
      </c>
      <c r="H34" s="5">
        <f>B34-C34+D34+E34+F34-G34</f>
        <v/>
      </c>
      <c r="I34" s="5">
        <f>IF(A34=0,$B$18,0)</f>
        <v/>
      </c>
      <c r="J34" s="5">
        <f>IF(A34=0,0,$B$5*$B$7/100*prix_diesel*(1+g_diesel)^A34)</f>
        <v/>
      </c>
      <c r="K34" s="5">
        <f>IF(A34=0,0,$B$5*$B$8*(1+g_entretien)^A34)</f>
        <v/>
      </c>
      <c r="L34" s="5">
        <f>IF(A34=$B$4,$B$22,0)</f>
        <v/>
      </c>
      <c r="M34" s="5">
        <f>I34+J34+K34-L34</f>
        <v/>
      </c>
      <c r="N34" s="5">
        <f>M34-H34</f>
        <v/>
      </c>
      <c r="O34" s="5">
        <f>1/(1+taux_r)^A34</f>
        <v/>
      </c>
      <c r="P34" s="5">
        <f>H34*O34</f>
        <v/>
      </c>
      <c r="Q34" s="5">
        <f>M34*O34</f>
        <v/>
      </c>
      <c r="R34" s="5">
        <f>R33+N34</f>
        <v/>
      </c>
      <c r="S34" s="5">
        <f>S33+N34*O34</f>
        <v/>
      </c>
      <c r="T34" s="5">
        <f>IF(A34=0,0,$B$5*O34)</f>
        <v/>
      </c>
      <c r="U34" s="6">
        <f>IF(R34&gt;=0,A34,"")</f>
        <v/>
      </c>
      <c r="V34" s="6">
        <f>IF(S34&gt;=0,A34,"")</f>
        <v/>
      </c>
      <c r="W34" s="6">
        <f>IF(A34=0,0,$B$5*$B$7/100*$B$15/1000)</f>
        <v/>
      </c>
      <c r="X34" s="6">
        <f>W34*ratio_wtw</f>
        <v/>
      </c>
      <c r="Y34" s="6">
        <f>IF(A34=0,0,$B$5*$B$21/100*fe_elec/1000000)</f>
        <v/>
      </c>
    </row>
    <row r="35">
      <c r="A35">
        <f>A34+1</f>
        <v/>
      </c>
      <c r="B35" s="5">
        <f>IF(A35=0,$B$19+$B$20,0)</f>
        <v/>
      </c>
      <c r="C35" s="5">
        <f>IF(A35=$B$13,$B$12,0)</f>
        <v/>
      </c>
      <c r="D35" s="5">
        <f>IF(A35=0,0,$B$5*$B$21/100*prix_elec*(1+g_elec)^A35)</f>
        <v/>
      </c>
      <c r="E35" s="5">
        <f>IF(A35=0,0,$B$5*$B$11*(1+g_entretien)^A35)</f>
        <v/>
      </c>
      <c r="F35" s="5">
        <f>IF(A35=0,0,infra_entretien_pct*$B$14*(1+g_entretien)^A35)</f>
        <v/>
      </c>
      <c r="G35" s="5">
        <f>IF(A35=$B$4,$B$23+$B$24,0)</f>
        <v/>
      </c>
      <c r="H35" s="5">
        <f>B35-C35+D35+E35+F35-G35</f>
        <v/>
      </c>
      <c r="I35" s="5">
        <f>IF(A35=0,$B$18,0)</f>
        <v/>
      </c>
      <c r="J35" s="5">
        <f>IF(A35=0,0,$B$5*$B$7/100*prix_diesel*(1+g_diesel)^A35)</f>
        <v/>
      </c>
      <c r="K35" s="5">
        <f>IF(A35=0,0,$B$5*$B$8*(1+g_entretien)^A35)</f>
        <v/>
      </c>
      <c r="L35" s="5">
        <f>IF(A35=$B$4,$B$22,0)</f>
        <v/>
      </c>
      <c r="M35" s="5">
        <f>I35+J35+K35-L35</f>
        <v/>
      </c>
      <c r="N35" s="5">
        <f>M35-H35</f>
        <v/>
      </c>
      <c r="O35" s="5">
        <f>1/(1+taux_r)^A35</f>
        <v/>
      </c>
      <c r="P35" s="5">
        <f>H35*O35</f>
        <v/>
      </c>
      <c r="Q35" s="5">
        <f>M35*O35</f>
        <v/>
      </c>
      <c r="R35" s="5">
        <f>R34+N35</f>
        <v/>
      </c>
      <c r="S35" s="5">
        <f>S34+N35*O35</f>
        <v/>
      </c>
      <c r="T35" s="5">
        <f>IF(A35=0,0,$B$5*O35)</f>
        <v/>
      </c>
      <c r="U35" s="6">
        <f>IF(R35&gt;=0,A35,"")</f>
        <v/>
      </c>
      <c r="V35" s="6">
        <f>IF(S35&gt;=0,A35,"")</f>
        <v/>
      </c>
      <c r="W35" s="6">
        <f>IF(A35=0,0,$B$5*$B$7/100*$B$15/1000)</f>
        <v/>
      </c>
      <c r="X35" s="6">
        <f>W35*ratio_wtw</f>
        <v/>
      </c>
      <c r="Y35" s="6">
        <f>IF(A35=0,0,$B$5*$B$21/100*fe_elec/1000000)</f>
        <v/>
      </c>
    </row>
    <row r="36">
      <c r="A36">
        <f>A35+1</f>
        <v/>
      </c>
      <c r="B36" s="5">
        <f>IF(A36=0,$B$19+$B$20,0)</f>
        <v/>
      </c>
      <c r="C36" s="5">
        <f>IF(A36=$B$13,$B$12,0)</f>
        <v/>
      </c>
      <c r="D36" s="5">
        <f>IF(A36=0,0,$B$5*$B$21/100*prix_elec*(1+g_elec)^A36)</f>
        <v/>
      </c>
      <c r="E36" s="5">
        <f>IF(A36=0,0,$B$5*$B$11*(1+g_entretien)^A36)</f>
        <v/>
      </c>
      <c r="F36" s="5">
        <f>IF(A36=0,0,infra_entretien_pct*$B$14*(1+g_entretien)^A36)</f>
        <v/>
      </c>
      <c r="G36" s="5">
        <f>IF(A36=$B$4,$B$23+$B$24,0)</f>
        <v/>
      </c>
      <c r="H36" s="5">
        <f>B36-C36+D36+E36+F36-G36</f>
        <v/>
      </c>
      <c r="I36" s="5">
        <f>IF(A36=0,$B$18,0)</f>
        <v/>
      </c>
      <c r="J36" s="5">
        <f>IF(A36=0,0,$B$5*$B$7/100*prix_diesel*(1+g_diesel)^A36)</f>
        <v/>
      </c>
      <c r="K36" s="5">
        <f>IF(A36=0,0,$B$5*$B$8*(1+g_entretien)^A36)</f>
        <v/>
      </c>
      <c r="L36" s="5">
        <f>IF(A36=$B$4,$B$22,0)</f>
        <v/>
      </c>
      <c r="M36" s="5">
        <f>I36+J36+K36-L36</f>
        <v/>
      </c>
      <c r="N36" s="5">
        <f>M36-H36</f>
        <v/>
      </c>
      <c r="O36" s="5">
        <f>1/(1+taux_r)^A36</f>
        <v/>
      </c>
      <c r="P36" s="5">
        <f>H36*O36</f>
        <v/>
      </c>
      <c r="Q36" s="5">
        <f>M36*O36</f>
        <v/>
      </c>
      <c r="R36" s="5">
        <f>R35+N36</f>
        <v/>
      </c>
      <c r="S36" s="5">
        <f>S35+N36*O36</f>
        <v/>
      </c>
      <c r="T36" s="5">
        <f>IF(A36=0,0,$B$5*O36)</f>
        <v/>
      </c>
      <c r="U36" s="6">
        <f>IF(R36&gt;=0,A36,"")</f>
        <v/>
      </c>
      <c r="V36" s="6">
        <f>IF(S36&gt;=0,A36,"")</f>
        <v/>
      </c>
      <c r="W36" s="6">
        <f>IF(A36=0,0,$B$5*$B$7/100*$B$15/1000)</f>
        <v/>
      </c>
      <c r="X36" s="6">
        <f>W36*ratio_wtw</f>
        <v/>
      </c>
      <c r="Y36" s="6">
        <f>IF(A36=0,0,$B$5*$B$21/100*fe_elec/1000000)</f>
        <v/>
      </c>
    </row>
    <row r="37">
      <c r="A37">
        <f>A36+1</f>
        <v/>
      </c>
      <c r="B37" s="5">
        <f>IF(A37=0,$B$19+$B$20,0)</f>
        <v/>
      </c>
      <c r="C37" s="5">
        <f>IF(A37=$B$13,$B$12,0)</f>
        <v/>
      </c>
      <c r="D37" s="5">
        <f>IF(A37=0,0,$B$5*$B$21/100*prix_elec*(1+g_elec)^A37)</f>
        <v/>
      </c>
      <c r="E37" s="5">
        <f>IF(A37=0,0,$B$5*$B$11*(1+g_entretien)^A37)</f>
        <v/>
      </c>
      <c r="F37" s="5">
        <f>IF(A37=0,0,infra_entretien_pct*$B$14*(1+g_entretien)^A37)</f>
        <v/>
      </c>
      <c r="G37" s="5">
        <f>IF(A37=$B$4,$B$23+$B$24,0)</f>
        <v/>
      </c>
      <c r="H37" s="5">
        <f>B37-C37+D37+E37+F37-G37</f>
        <v/>
      </c>
      <c r="I37" s="5">
        <f>IF(A37=0,$B$18,0)</f>
        <v/>
      </c>
      <c r="J37" s="5">
        <f>IF(A37=0,0,$B$5*$B$7/100*prix_diesel*(1+g_diesel)^A37)</f>
        <v/>
      </c>
      <c r="K37" s="5">
        <f>IF(A37=0,0,$B$5*$B$8*(1+g_entretien)^A37)</f>
        <v/>
      </c>
      <c r="L37" s="5">
        <f>IF(A37=$B$4,$B$22,0)</f>
        <v/>
      </c>
      <c r="M37" s="5">
        <f>I37+J37+K37-L37</f>
        <v/>
      </c>
      <c r="N37" s="5">
        <f>M37-H37</f>
        <v/>
      </c>
      <c r="O37" s="5">
        <f>1/(1+taux_r)^A37</f>
        <v/>
      </c>
      <c r="P37" s="5">
        <f>H37*O37</f>
        <v/>
      </c>
      <c r="Q37" s="5">
        <f>M37*O37</f>
        <v/>
      </c>
      <c r="R37" s="5">
        <f>R36+N37</f>
        <v/>
      </c>
      <c r="S37" s="5">
        <f>S36+N37*O37</f>
        <v/>
      </c>
      <c r="T37" s="5">
        <f>IF(A37=0,0,$B$5*O37)</f>
        <v/>
      </c>
      <c r="U37" s="6">
        <f>IF(R37&gt;=0,A37,"")</f>
        <v/>
      </c>
      <c r="V37" s="6">
        <f>IF(S37&gt;=0,A37,"")</f>
        <v/>
      </c>
      <c r="W37" s="6">
        <f>IF(A37=0,0,$B$5*$B$7/100*$B$15/1000)</f>
        <v/>
      </c>
      <c r="X37" s="6">
        <f>W37*ratio_wtw</f>
        <v/>
      </c>
      <c r="Y37" s="6">
        <f>IF(A37=0,0,$B$5*$B$21/100*fe_elec/1000000)</f>
        <v/>
      </c>
    </row>
    <row r="38">
      <c r="A38">
        <f>A37+1</f>
        <v/>
      </c>
      <c r="B38" s="5">
        <f>IF(A38=0,$B$19+$B$20,0)</f>
        <v/>
      </c>
      <c r="C38" s="5">
        <f>IF(A38=$B$13,$B$12,0)</f>
        <v/>
      </c>
      <c r="D38" s="5">
        <f>IF(A38=0,0,$B$5*$B$21/100*prix_elec*(1+g_elec)^A38)</f>
        <v/>
      </c>
      <c r="E38" s="5">
        <f>IF(A38=0,0,$B$5*$B$11*(1+g_entretien)^A38)</f>
        <v/>
      </c>
      <c r="F38" s="5">
        <f>IF(A38=0,0,infra_entretien_pct*$B$14*(1+g_entretien)^A38)</f>
        <v/>
      </c>
      <c r="G38" s="5">
        <f>IF(A38=$B$4,$B$23+$B$24,0)</f>
        <v/>
      </c>
      <c r="H38" s="5">
        <f>B38-C38+D38+E38+F38-G38</f>
        <v/>
      </c>
      <c r="I38" s="5">
        <f>IF(A38=0,$B$18,0)</f>
        <v/>
      </c>
      <c r="J38" s="5">
        <f>IF(A38=0,0,$B$5*$B$7/100*prix_diesel*(1+g_diesel)^A38)</f>
        <v/>
      </c>
      <c r="K38" s="5">
        <f>IF(A38=0,0,$B$5*$B$8*(1+g_entretien)^A38)</f>
        <v/>
      </c>
      <c r="L38" s="5">
        <f>IF(A38=$B$4,$B$22,0)</f>
        <v/>
      </c>
      <c r="M38" s="5">
        <f>I38+J38+K38-L38</f>
        <v/>
      </c>
      <c r="N38" s="5">
        <f>M38-H38</f>
        <v/>
      </c>
      <c r="O38" s="5">
        <f>1/(1+taux_r)^A38</f>
        <v/>
      </c>
      <c r="P38" s="5">
        <f>H38*O38</f>
        <v/>
      </c>
      <c r="Q38" s="5">
        <f>M38*O38</f>
        <v/>
      </c>
      <c r="R38" s="5">
        <f>R37+N38</f>
        <v/>
      </c>
      <c r="S38" s="5">
        <f>S37+N38*O38</f>
        <v/>
      </c>
      <c r="T38" s="5">
        <f>IF(A38=0,0,$B$5*O38)</f>
        <v/>
      </c>
      <c r="U38" s="6">
        <f>IF(R38&gt;=0,A38,"")</f>
        <v/>
      </c>
      <c r="V38" s="6">
        <f>IF(S38&gt;=0,A38,"")</f>
        <v/>
      </c>
      <c r="W38" s="6">
        <f>IF(A38=0,0,$B$5*$B$7/100*$B$15/1000)</f>
        <v/>
      </c>
      <c r="X38" s="6">
        <f>W38*ratio_wtw</f>
        <v/>
      </c>
      <c r="Y38" s="6">
        <f>IF(A38=0,0,$B$5*$B$21/100*fe_elec/1000000)</f>
        <v/>
      </c>
    </row>
    <row r="40">
      <c r="A40" s="2" t="inlineStr">
        <is>
          <t>Résultats (formules)</t>
        </is>
      </c>
    </row>
    <row r="41">
      <c r="A41" s="2" t="inlineStr">
        <is>
          <t>TCO actualisé — alternative ($)</t>
        </is>
      </c>
      <c r="B41" s="4">
        <f>SUM(P28:P38)</f>
        <v/>
      </c>
    </row>
    <row r="42">
      <c r="A42" s="2" t="inlineStr">
        <is>
          <t>TCO actualisé — référence ($)</t>
        </is>
      </c>
      <c r="B42" s="4">
        <f>SUM(Q28:Q38)</f>
        <v/>
      </c>
    </row>
    <row r="43">
      <c r="A43" s="2" t="inlineStr">
        <is>
          <t>VAN différentielle réf − alt ($)</t>
        </is>
      </c>
      <c r="B43" s="4">
        <f>B42-B41</f>
        <v/>
      </c>
    </row>
    <row r="44">
      <c r="A44" s="2" t="inlineStr">
        <is>
          <t>km actualisés</t>
        </is>
      </c>
      <c r="B44" s="4">
        <f>SUM(T28:T38)</f>
        <v/>
      </c>
    </row>
    <row r="45">
      <c r="A45" s="2" t="inlineStr">
        <is>
          <t>TCO/km actualisé — alternative ($/km)</t>
        </is>
      </c>
      <c r="B45" s="4">
        <f>B41/B44</f>
        <v/>
      </c>
    </row>
    <row r="46">
      <c r="A46" s="2" t="inlineStr">
        <is>
          <t>TCO/km actualisé — référence ($/km)</t>
        </is>
      </c>
      <c r="B46" s="4">
        <f>B42/B44</f>
        <v/>
      </c>
    </row>
    <row r="47">
      <c r="A47" s="2" t="inlineStr">
        <is>
          <t>Délai de récupération simple (années)</t>
        </is>
      </c>
      <c r="B47" s="4">
        <f>IF(COUNT(U28:U38)=0,"null : jamais atteint sur l'horizon",MIN(U28:U38))</f>
        <v/>
      </c>
    </row>
    <row r="48">
      <c r="A48" s="2" t="inlineStr">
        <is>
          <t>Délai de récupération actualisé (années)</t>
        </is>
      </c>
      <c r="B48" s="4">
        <f>IF(COUNT(V28:V38)=0,"null : jamais atteint sur l'horizon",MIN(V28:V38))</f>
        <v/>
      </c>
    </row>
    <row r="49">
      <c r="A49" s="2" t="inlineStr">
        <is>
          <t>CO2e évité cumulé TTW (t)</t>
        </is>
      </c>
      <c r="B49" s="4">
        <f>SUM(W28:W38)</f>
        <v/>
      </c>
    </row>
    <row r="50">
      <c r="A50" s="2" t="inlineStr">
        <is>
          <t>CO2e évité cumulé WTW (t)</t>
        </is>
      </c>
      <c r="B50" s="4">
        <f>SUM(X28:X38)-SUM(Y28:Y38)</f>
        <v/>
      </c>
    </row>
    <row r="51">
      <c r="A51" s="2" t="inlineStr">
        <is>
          <t>Coût (+) ou gain (−) par tonne WTW évitée ($/t)</t>
        </is>
      </c>
      <c r="B51" s="4">
        <f>(B41-B42)/B50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Cas 3 — Camion lourd BEV (classe 8)</t>
        </is>
      </c>
    </row>
    <row r="3">
      <c r="A3" s="2" t="inlineStr">
        <is>
          <t>Entrées du cas (constantes)</t>
        </is>
      </c>
    </row>
    <row r="4">
      <c r="A4" t="inlineStr">
        <is>
          <t>Horizon H (années)</t>
        </is>
      </c>
      <c r="B4" s="3" t="n">
        <v>10</v>
      </c>
      <c r="C4" t="inlineStr">
        <is>
          <t>ans</t>
        </is>
      </c>
    </row>
    <row r="5">
      <c r="A5" t="inlineStr">
        <is>
          <t>Kilométrage annuel</t>
        </is>
      </c>
      <c r="B5" s="3" t="n">
        <v>60000</v>
      </c>
      <c r="C5" t="inlineStr">
        <is>
          <t>km/an</t>
        </is>
      </c>
    </row>
    <row r="6">
      <c r="A6" t="inlineStr">
        <is>
          <t>Prix réf (diesel) avant taxes</t>
        </is>
      </c>
      <c r="B6" s="3" t="n">
        <v>200000</v>
      </c>
      <c r="C6" t="inlineStr">
        <is>
          <t>$</t>
        </is>
      </c>
    </row>
    <row r="7">
      <c r="A7" t="inlineStr">
        <is>
          <t>Conso réf</t>
        </is>
      </c>
      <c r="B7" s="3" t="n">
        <v>36</v>
      </c>
      <c r="C7" t="inlineStr">
        <is>
          <t>L/100 km</t>
        </is>
      </c>
    </row>
    <row r="8">
      <c r="A8" t="inlineStr">
        <is>
          <t>Entretien réf</t>
        </is>
      </c>
      <c r="B8" s="3" t="n">
        <v>0.35</v>
      </c>
      <c r="C8" t="inlineStr">
        <is>
          <t>$/km</t>
        </is>
      </c>
    </row>
    <row r="9">
      <c r="A9" t="inlineStr">
        <is>
          <t>Prix alt avant taxes</t>
        </is>
      </c>
      <c r="B9" s="3" t="n">
        <v>460000</v>
      </c>
      <c r="C9" t="inlineStr">
        <is>
          <t>$</t>
        </is>
      </c>
    </row>
    <row r="10">
      <c r="A10" t="inlineStr">
        <is>
          <t>Conso alt</t>
        </is>
      </c>
      <c r="B10" s="3" t="n">
        <v>115</v>
      </c>
      <c r="C10" t="inlineStr">
        <is>
          <t>kWh/100 km</t>
        </is>
      </c>
    </row>
    <row r="11">
      <c r="A11" t="inlineStr">
        <is>
          <t>Entretien alt</t>
        </is>
      </c>
      <c r="B11" s="3" t="n">
        <v>0.25</v>
      </c>
      <c r="C11" t="inlineStr">
        <is>
          <t>$/km</t>
        </is>
      </c>
    </row>
    <row r="12">
      <c r="A12" t="inlineStr">
        <is>
          <t>Subvention (montant)</t>
        </is>
      </c>
      <c r="B12" s="3" t="n">
        <v>115000</v>
      </c>
      <c r="C12" t="inlineStr">
        <is>
          <t>$</t>
        </is>
      </c>
    </row>
    <row r="13">
      <c r="A13" t="inlineStr">
        <is>
          <t>Subvention (année de versement)</t>
        </is>
      </c>
      <c r="B13" s="3" t="n">
        <v>1</v>
      </c>
      <c r="C13" t="inlineStr">
        <is>
          <t>année</t>
        </is>
      </c>
    </row>
    <row r="14">
      <c r="A14" t="inlineStr">
        <is>
          <t>Infra — capex avant taxes</t>
        </is>
      </c>
      <c r="B14" s="3" t="n">
        <v>250000</v>
      </c>
      <c r="C14" t="inlineStr">
        <is>
          <t>$</t>
        </is>
      </c>
    </row>
    <row r="15">
      <c r="A15" t="inlineStr">
        <is>
          <t>FE diesel TTW (choix catégorie)</t>
        </is>
      </c>
      <c r="B15" s="4">
        <f>fe_lourd</f>
        <v/>
      </c>
      <c r="C15" t="inlineStr">
        <is>
          <t>kg CO2e/L</t>
        </is>
      </c>
    </row>
    <row r="17">
      <c r="A17" s="2" t="inlineStr">
        <is>
          <t>Valeurs dérivées (formules)</t>
        </is>
      </c>
    </row>
    <row r="18">
      <c r="A18" t="inlineStr">
        <is>
          <t>Prix réf avec taxes non récupérables</t>
        </is>
      </c>
      <c r="B18" s="4">
        <f>$B$6*(1+taux_taxes)</f>
        <v/>
      </c>
    </row>
    <row r="19">
      <c r="A19" t="inlineStr">
        <is>
          <t>Prix alt avec taxes non récupérables</t>
        </is>
      </c>
      <c r="B19" s="4">
        <f>$B$9*(1+taux_taxes)</f>
        <v/>
      </c>
    </row>
    <row r="20">
      <c r="A20" t="inlineStr">
        <is>
          <t>Infra avec taxes non récupérables</t>
        </is>
      </c>
      <c r="B20" s="4">
        <f>$B$14*(1+taux_taxes)</f>
        <v/>
      </c>
    </row>
    <row r="21">
      <c r="A21" t="inlineStr">
        <is>
          <t>Conso alt facturée (compteur ou pompe) /100 km</t>
        </is>
      </c>
      <c r="B21" s="4">
        <f>$B$10*fact_hiver/rendement</f>
        <v/>
      </c>
    </row>
    <row r="22">
      <c r="A22" t="inlineStr">
        <is>
          <t>VR réf fin d'horizon (avant taxes, nominale)</t>
        </is>
      </c>
      <c r="B22" s="4">
        <f>MAX($B$6*(1-d_diesel)^$B$4,plancher_vr*$B$6)</f>
        <v/>
      </c>
    </row>
    <row r="23">
      <c r="A23" t="inlineStr">
        <is>
          <t>VR alt fin d'horizon (avant taxes, nominale)</t>
        </is>
      </c>
      <c r="B23" s="4">
        <f>MAX($B$9*(1-d_bev)^$B$4,plancher_vr*$B$9)</f>
        <v/>
      </c>
    </row>
    <row r="24">
      <c r="A24" t="inlineStr">
        <is>
          <t>VR infra fin d'horizon (linéaire sur 15 ans)</t>
        </is>
      </c>
      <c r="B24" s="4">
        <f>IF($B$14&gt;0,$B$14*(duree_vie_infra-$B$4)/duree_vie_infra,0)</f>
        <v/>
      </c>
    </row>
    <row r="27">
      <c r="A27" s="2" t="inlineStr">
        <is>
          <t>n</t>
        </is>
      </c>
      <c r="B27" s="2" t="inlineStr">
        <is>
          <t>Acquisition alt</t>
        </is>
      </c>
      <c r="C27" s="2" t="inlineStr">
        <is>
          <t>Subventions</t>
        </is>
      </c>
      <c r="D27" s="2" t="inlineStr">
        <is>
          <t>Énergie alt</t>
        </is>
      </c>
      <c r="E27" s="2" t="inlineStr">
        <is>
          <t>Entretien alt</t>
        </is>
      </c>
      <c r="F27" s="2" t="inlineStr">
        <is>
          <t>Opex infra</t>
        </is>
      </c>
      <c r="G27" s="2" t="inlineStr">
        <is>
          <t>Résiduels alt</t>
        </is>
      </c>
      <c r="H27" s="2" t="inlineStr">
        <is>
          <t>Flux net alt</t>
        </is>
      </c>
      <c r="I27" s="2" t="inlineStr">
        <is>
          <t>Acquisition réf</t>
        </is>
      </c>
      <c r="J27" s="2" t="inlineStr">
        <is>
          <t>Énergie réf</t>
        </is>
      </c>
      <c r="K27" s="2" t="inlineStr">
        <is>
          <t>Entretien réf</t>
        </is>
      </c>
      <c r="L27" s="2" t="inlineStr">
        <is>
          <t>Résiduels réf</t>
        </is>
      </c>
      <c r="M27" s="2" t="inlineStr">
        <is>
          <t>Flux net réf</t>
        </is>
      </c>
      <c r="N27" s="2" t="inlineStr">
        <is>
          <t>Économie nominale</t>
        </is>
      </c>
      <c r="O27" s="2" t="inlineStr">
        <is>
          <t>Facteur actualisation</t>
        </is>
      </c>
      <c r="P27" s="2" t="inlineStr">
        <is>
          <t>Flux act. alt</t>
        </is>
      </c>
      <c r="Q27" s="2" t="inlineStr">
        <is>
          <t>Flux act. réf</t>
        </is>
      </c>
      <c r="R27" s="2" t="inlineStr">
        <is>
          <t>Cumul économie nominale</t>
        </is>
      </c>
      <c r="S27" s="2" t="inlineStr">
        <is>
          <t>Cumul économie actualisée</t>
        </is>
      </c>
      <c r="T27" s="2" t="inlineStr">
        <is>
          <t>km actualisés</t>
        </is>
      </c>
      <c r="U27" s="2" t="inlineStr">
        <is>
          <t>n si cumul nominal &gt;= 0</t>
        </is>
      </c>
      <c r="V27" s="2" t="inlineStr">
        <is>
          <t>n si cumul actualisé &gt;= 0</t>
        </is>
      </c>
      <c r="W27" s="2" t="inlineStr">
        <is>
          <t>TTW réf (t)</t>
        </is>
      </c>
      <c r="X27" s="2" t="inlineStr">
        <is>
          <t>WTW réf (t)</t>
        </is>
      </c>
      <c r="Y27" s="2" t="inlineStr">
        <is>
          <t>WTW alt (t)</t>
        </is>
      </c>
    </row>
    <row r="28">
      <c r="A28" t="n">
        <v>0</v>
      </c>
      <c r="B28" s="5">
        <f>IF(A28=0,$B$19+$B$20,0)</f>
        <v/>
      </c>
      <c r="C28" s="5">
        <f>IF(A28=$B$13,$B$12,0)</f>
        <v/>
      </c>
      <c r="D28" s="5">
        <f>IF(A28=0,0,$B$5*$B$21/100*prix_elec*(1+g_elec)^A28)</f>
        <v/>
      </c>
      <c r="E28" s="5">
        <f>IF(A28=0,0,$B$5*$B$11*(1+g_entretien)^A28)</f>
        <v/>
      </c>
      <c r="F28" s="5">
        <f>IF(A28=0,0,infra_entretien_pct*$B$14*(1+g_entretien)^A28)</f>
        <v/>
      </c>
      <c r="G28" s="5">
        <f>IF(A28=$B$4,$B$23+$B$24,0)</f>
        <v/>
      </c>
      <c r="H28" s="5">
        <f>B28-C28+D28+E28+F28-G28</f>
        <v/>
      </c>
      <c r="I28" s="5">
        <f>IF(A28=0,$B$18,0)</f>
        <v/>
      </c>
      <c r="J28" s="5">
        <f>IF(A28=0,0,$B$5*$B$7/100*prix_diesel*(1+g_diesel)^A28)</f>
        <v/>
      </c>
      <c r="K28" s="5">
        <f>IF(A28=0,0,$B$5*$B$8*(1+g_entretien)^A28)</f>
        <v/>
      </c>
      <c r="L28" s="5">
        <f>IF(A28=$B$4,$B$22,0)</f>
        <v/>
      </c>
      <c r="M28" s="5">
        <f>I28+J28+K28-L28</f>
        <v/>
      </c>
      <c r="N28" s="5">
        <f>M28-H28</f>
        <v/>
      </c>
      <c r="O28" s="5">
        <f>1/(1+taux_r)^A28</f>
        <v/>
      </c>
      <c r="P28" s="5">
        <f>H28*O28</f>
        <v/>
      </c>
      <c r="Q28" s="5">
        <f>M28*O28</f>
        <v/>
      </c>
      <c r="R28" s="5">
        <f>N28</f>
        <v/>
      </c>
      <c r="S28" s="5">
        <f>N28*O28</f>
        <v/>
      </c>
      <c r="T28" s="5">
        <f>IF(A28=0,0,$B$5*O28)</f>
        <v/>
      </c>
      <c r="U28" s="6">
        <f>IF(R28&gt;=0,A28,"")</f>
        <v/>
      </c>
      <c r="V28" s="6">
        <f>IF(S28&gt;=0,A28,"")</f>
        <v/>
      </c>
      <c r="W28" s="6">
        <f>IF(A28=0,0,$B$5*$B$7/100*$B$15/1000)</f>
        <v/>
      </c>
      <c r="X28" s="6">
        <f>W28*ratio_wtw</f>
        <v/>
      </c>
      <c r="Y28" s="6">
        <f>IF(A28=0,0,$B$5*$B$21/100*fe_elec/1000000)</f>
        <v/>
      </c>
    </row>
    <row r="29">
      <c r="A29">
        <f>A28+1</f>
        <v/>
      </c>
      <c r="B29" s="5">
        <f>IF(A29=0,$B$19+$B$20,0)</f>
        <v/>
      </c>
      <c r="C29" s="5">
        <f>IF(A29=$B$13,$B$12,0)</f>
        <v/>
      </c>
      <c r="D29" s="5">
        <f>IF(A29=0,0,$B$5*$B$21/100*prix_elec*(1+g_elec)^A29)</f>
        <v/>
      </c>
      <c r="E29" s="5">
        <f>IF(A29=0,0,$B$5*$B$11*(1+g_entretien)^A29)</f>
        <v/>
      </c>
      <c r="F29" s="5">
        <f>IF(A29=0,0,infra_entretien_pct*$B$14*(1+g_entretien)^A29)</f>
        <v/>
      </c>
      <c r="G29" s="5">
        <f>IF(A29=$B$4,$B$23+$B$24,0)</f>
        <v/>
      </c>
      <c r="H29" s="5">
        <f>B29-C29+D29+E29+F29-G29</f>
        <v/>
      </c>
      <c r="I29" s="5">
        <f>IF(A29=0,$B$18,0)</f>
        <v/>
      </c>
      <c r="J29" s="5">
        <f>IF(A29=0,0,$B$5*$B$7/100*prix_diesel*(1+g_diesel)^A29)</f>
        <v/>
      </c>
      <c r="K29" s="5">
        <f>IF(A29=0,0,$B$5*$B$8*(1+g_entretien)^A29)</f>
        <v/>
      </c>
      <c r="L29" s="5">
        <f>IF(A29=$B$4,$B$22,0)</f>
        <v/>
      </c>
      <c r="M29" s="5">
        <f>I29+J29+K29-L29</f>
        <v/>
      </c>
      <c r="N29" s="5">
        <f>M29-H29</f>
        <v/>
      </c>
      <c r="O29" s="5">
        <f>1/(1+taux_r)^A29</f>
        <v/>
      </c>
      <c r="P29" s="5">
        <f>H29*O29</f>
        <v/>
      </c>
      <c r="Q29" s="5">
        <f>M29*O29</f>
        <v/>
      </c>
      <c r="R29" s="5">
        <f>R28+N29</f>
        <v/>
      </c>
      <c r="S29" s="5">
        <f>S28+N29*O29</f>
        <v/>
      </c>
      <c r="T29" s="5">
        <f>IF(A29=0,0,$B$5*O29)</f>
        <v/>
      </c>
      <c r="U29" s="6">
        <f>IF(R29&gt;=0,A29,"")</f>
        <v/>
      </c>
      <c r="V29" s="6">
        <f>IF(S29&gt;=0,A29,"")</f>
        <v/>
      </c>
      <c r="W29" s="6">
        <f>IF(A29=0,0,$B$5*$B$7/100*$B$15/1000)</f>
        <v/>
      </c>
      <c r="X29" s="6">
        <f>W29*ratio_wtw</f>
        <v/>
      </c>
      <c r="Y29" s="6">
        <f>IF(A29=0,0,$B$5*$B$21/100*fe_elec/1000000)</f>
        <v/>
      </c>
    </row>
    <row r="30">
      <c r="A30">
        <f>A29+1</f>
        <v/>
      </c>
      <c r="B30" s="5">
        <f>IF(A30=0,$B$19+$B$20,0)</f>
        <v/>
      </c>
      <c r="C30" s="5">
        <f>IF(A30=$B$13,$B$12,0)</f>
        <v/>
      </c>
      <c r="D30" s="5">
        <f>IF(A30=0,0,$B$5*$B$21/100*prix_elec*(1+g_elec)^A30)</f>
        <v/>
      </c>
      <c r="E30" s="5">
        <f>IF(A30=0,0,$B$5*$B$11*(1+g_entretien)^A30)</f>
        <v/>
      </c>
      <c r="F30" s="5">
        <f>IF(A30=0,0,infra_entretien_pct*$B$14*(1+g_entretien)^A30)</f>
        <v/>
      </c>
      <c r="G30" s="5">
        <f>IF(A30=$B$4,$B$23+$B$24,0)</f>
        <v/>
      </c>
      <c r="H30" s="5">
        <f>B30-C30+D30+E30+F30-G30</f>
        <v/>
      </c>
      <c r="I30" s="5">
        <f>IF(A30=0,$B$18,0)</f>
        <v/>
      </c>
      <c r="J30" s="5">
        <f>IF(A30=0,0,$B$5*$B$7/100*prix_diesel*(1+g_diesel)^A30)</f>
        <v/>
      </c>
      <c r="K30" s="5">
        <f>IF(A30=0,0,$B$5*$B$8*(1+g_entretien)^A30)</f>
        <v/>
      </c>
      <c r="L30" s="5">
        <f>IF(A30=$B$4,$B$22,0)</f>
        <v/>
      </c>
      <c r="M30" s="5">
        <f>I30+J30+K30-L30</f>
        <v/>
      </c>
      <c r="N30" s="5">
        <f>M30-H30</f>
        <v/>
      </c>
      <c r="O30" s="5">
        <f>1/(1+taux_r)^A30</f>
        <v/>
      </c>
      <c r="P30" s="5">
        <f>H30*O30</f>
        <v/>
      </c>
      <c r="Q30" s="5">
        <f>M30*O30</f>
        <v/>
      </c>
      <c r="R30" s="5">
        <f>R29+N30</f>
        <v/>
      </c>
      <c r="S30" s="5">
        <f>S29+N30*O30</f>
        <v/>
      </c>
      <c r="T30" s="5">
        <f>IF(A30=0,0,$B$5*O30)</f>
        <v/>
      </c>
      <c r="U30" s="6">
        <f>IF(R30&gt;=0,A30,"")</f>
        <v/>
      </c>
      <c r="V30" s="6">
        <f>IF(S30&gt;=0,A30,"")</f>
        <v/>
      </c>
      <c r="W30" s="6">
        <f>IF(A30=0,0,$B$5*$B$7/100*$B$15/1000)</f>
        <v/>
      </c>
      <c r="X30" s="6">
        <f>W30*ratio_wtw</f>
        <v/>
      </c>
      <c r="Y30" s="6">
        <f>IF(A30=0,0,$B$5*$B$21/100*fe_elec/1000000)</f>
        <v/>
      </c>
    </row>
    <row r="31">
      <c r="A31">
        <f>A30+1</f>
        <v/>
      </c>
      <c r="B31" s="5">
        <f>IF(A31=0,$B$19+$B$20,0)</f>
        <v/>
      </c>
      <c r="C31" s="5">
        <f>IF(A31=$B$13,$B$12,0)</f>
        <v/>
      </c>
      <c r="D31" s="5">
        <f>IF(A31=0,0,$B$5*$B$21/100*prix_elec*(1+g_elec)^A31)</f>
        <v/>
      </c>
      <c r="E31" s="5">
        <f>IF(A31=0,0,$B$5*$B$11*(1+g_entretien)^A31)</f>
        <v/>
      </c>
      <c r="F31" s="5">
        <f>IF(A31=0,0,infra_entretien_pct*$B$14*(1+g_entretien)^A31)</f>
        <v/>
      </c>
      <c r="G31" s="5">
        <f>IF(A31=$B$4,$B$23+$B$24,0)</f>
        <v/>
      </c>
      <c r="H31" s="5">
        <f>B31-C31+D31+E31+F31-G31</f>
        <v/>
      </c>
      <c r="I31" s="5">
        <f>IF(A31=0,$B$18,0)</f>
        <v/>
      </c>
      <c r="J31" s="5">
        <f>IF(A31=0,0,$B$5*$B$7/100*prix_diesel*(1+g_diesel)^A31)</f>
        <v/>
      </c>
      <c r="K31" s="5">
        <f>IF(A31=0,0,$B$5*$B$8*(1+g_entretien)^A31)</f>
        <v/>
      </c>
      <c r="L31" s="5">
        <f>IF(A31=$B$4,$B$22,0)</f>
        <v/>
      </c>
      <c r="M31" s="5">
        <f>I31+J31+K31-L31</f>
        <v/>
      </c>
      <c r="N31" s="5">
        <f>M31-H31</f>
        <v/>
      </c>
      <c r="O31" s="5">
        <f>1/(1+taux_r)^A31</f>
        <v/>
      </c>
      <c r="P31" s="5">
        <f>H31*O31</f>
        <v/>
      </c>
      <c r="Q31" s="5">
        <f>M31*O31</f>
        <v/>
      </c>
      <c r="R31" s="5">
        <f>R30+N31</f>
        <v/>
      </c>
      <c r="S31" s="5">
        <f>S30+N31*O31</f>
        <v/>
      </c>
      <c r="T31" s="5">
        <f>IF(A31=0,0,$B$5*O31)</f>
        <v/>
      </c>
      <c r="U31" s="6">
        <f>IF(R31&gt;=0,A31,"")</f>
        <v/>
      </c>
      <c r="V31" s="6">
        <f>IF(S31&gt;=0,A31,"")</f>
        <v/>
      </c>
      <c r="W31" s="6">
        <f>IF(A31=0,0,$B$5*$B$7/100*$B$15/1000)</f>
        <v/>
      </c>
      <c r="X31" s="6">
        <f>W31*ratio_wtw</f>
        <v/>
      </c>
      <c r="Y31" s="6">
        <f>IF(A31=0,0,$B$5*$B$21/100*fe_elec/1000000)</f>
        <v/>
      </c>
    </row>
    <row r="32">
      <c r="A32">
        <f>A31+1</f>
        <v/>
      </c>
      <c r="B32" s="5">
        <f>IF(A32=0,$B$19+$B$20,0)</f>
        <v/>
      </c>
      <c r="C32" s="5">
        <f>IF(A32=$B$13,$B$12,0)</f>
        <v/>
      </c>
      <c r="D32" s="5">
        <f>IF(A32=0,0,$B$5*$B$21/100*prix_elec*(1+g_elec)^A32)</f>
        <v/>
      </c>
      <c r="E32" s="5">
        <f>IF(A32=0,0,$B$5*$B$11*(1+g_entretien)^A32)</f>
        <v/>
      </c>
      <c r="F32" s="5">
        <f>IF(A32=0,0,infra_entretien_pct*$B$14*(1+g_entretien)^A32)</f>
        <v/>
      </c>
      <c r="G32" s="5">
        <f>IF(A32=$B$4,$B$23+$B$24,0)</f>
        <v/>
      </c>
      <c r="H32" s="5">
        <f>B32-C32+D32+E32+F32-G32</f>
        <v/>
      </c>
      <c r="I32" s="5">
        <f>IF(A32=0,$B$18,0)</f>
        <v/>
      </c>
      <c r="J32" s="5">
        <f>IF(A32=0,0,$B$5*$B$7/100*prix_diesel*(1+g_diesel)^A32)</f>
        <v/>
      </c>
      <c r="K32" s="5">
        <f>IF(A32=0,0,$B$5*$B$8*(1+g_entretien)^A32)</f>
        <v/>
      </c>
      <c r="L32" s="5">
        <f>IF(A32=$B$4,$B$22,0)</f>
        <v/>
      </c>
      <c r="M32" s="5">
        <f>I32+J32+K32-L32</f>
        <v/>
      </c>
      <c r="N32" s="5">
        <f>M32-H32</f>
        <v/>
      </c>
      <c r="O32" s="5">
        <f>1/(1+taux_r)^A32</f>
        <v/>
      </c>
      <c r="P32" s="5">
        <f>H32*O32</f>
        <v/>
      </c>
      <c r="Q32" s="5">
        <f>M32*O32</f>
        <v/>
      </c>
      <c r="R32" s="5">
        <f>R31+N32</f>
        <v/>
      </c>
      <c r="S32" s="5">
        <f>S31+N32*O32</f>
        <v/>
      </c>
      <c r="T32" s="5">
        <f>IF(A32=0,0,$B$5*O32)</f>
        <v/>
      </c>
      <c r="U32" s="6">
        <f>IF(R32&gt;=0,A32,"")</f>
        <v/>
      </c>
      <c r="V32" s="6">
        <f>IF(S32&gt;=0,A32,"")</f>
        <v/>
      </c>
      <c r="W32" s="6">
        <f>IF(A32=0,0,$B$5*$B$7/100*$B$15/1000)</f>
        <v/>
      </c>
      <c r="X32" s="6">
        <f>W32*ratio_wtw</f>
        <v/>
      </c>
      <c r="Y32" s="6">
        <f>IF(A32=0,0,$B$5*$B$21/100*fe_elec/1000000)</f>
        <v/>
      </c>
    </row>
    <row r="33">
      <c r="A33">
        <f>A32+1</f>
        <v/>
      </c>
      <c r="B33" s="5">
        <f>IF(A33=0,$B$19+$B$20,0)</f>
        <v/>
      </c>
      <c r="C33" s="5">
        <f>IF(A33=$B$13,$B$12,0)</f>
        <v/>
      </c>
      <c r="D33" s="5">
        <f>IF(A33=0,0,$B$5*$B$21/100*prix_elec*(1+g_elec)^A33)</f>
        <v/>
      </c>
      <c r="E33" s="5">
        <f>IF(A33=0,0,$B$5*$B$11*(1+g_entretien)^A33)</f>
        <v/>
      </c>
      <c r="F33" s="5">
        <f>IF(A33=0,0,infra_entretien_pct*$B$14*(1+g_entretien)^A33)</f>
        <v/>
      </c>
      <c r="G33" s="5">
        <f>IF(A33=$B$4,$B$23+$B$24,0)</f>
        <v/>
      </c>
      <c r="H33" s="5">
        <f>B33-C33+D33+E33+F33-G33</f>
        <v/>
      </c>
      <c r="I33" s="5">
        <f>IF(A33=0,$B$18,0)</f>
        <v/>
      </c>
      <c r="J33" s="5">
        <f>IF(A33=0,0,$B$5*$B$7/100*prix_diesel*(1+g_diesel)^A33)</f>
        <v/>
      </c>
      <c r="K33" s="5">
        <f>IF(A33=0,0,$B$5*$B$8*(1+g_entretien)^A33)</f>
        <v/>
      </c>
      <c r="L33" s="5">
        <f>IF(A33=$B$4,$B$22,0)</f>
        <v/>
      </c>
      <c r="M33" s="5">
        <f>I33+J33+K33-L33</f>
        <v/>
      </c>
      <c r="N33" s="5">
        <f>M33-H33</f>
        <v/>
      </c>
      <c r="O33" s="5">
        <f>1/(1+taux_r)^A33</f>
        <v/>
      </c>
      <c r="P33" s="5">
        <f>H33*O33</f>
        <v/>
      </c>
      <c r="Q33" s="5">
        <f>M33*O33</f>
        <v/>
      </c>
      <c r="R33" s="5">
        <f>R32+N33</f>
        <v/>
      </c>
      <c r="S33" s="5">
        <f>S32+N33*O33</f>
        <v/>
      </c>
      <c r="T33" s="5">
        <f>IF(A33=0,0,$B$5*O33)</f>
        <v/>
      </c>
      <c r="U33" s="6">
        <f>IF(R33&gt;=0,A33,"")</f>
        <v/>
      </c>
      <c r="V33" s="6">
        <f>IF(S33&gt;=0,A33,"")</f>
        <v/>
      </c>
      <c r="W33" s="6">
        <f>IF(A33=0,0,$B$5*$B$7/100*$B$15/1000)</f>
        <v/>
      </c>
      <c r="X33" s="6">
        <f>W33*ratio_wtw</f>
        <v/>
      </c>
      <c r="Y33" s="6">
        <f>IF(A33=0,0,$B$5*$B$21/100*fe_elec/1000000)</f>
        <v/>
      </c>
    </row>
    <row r="34">
      <c r="A34">
        <f>A33+1</f>
        <v/>
      </c>
      <c r="B34" s="5">
        <f>IF(A34=0,$B$19+$B$20,0)</f>
        <v/>
      </c>
      <c r="C34" s="5">
        <f>IF(A34=$B$13,$B$12,0)</f>
        <v/>
      </c>
      <c r="D34" s="5">
        <f>IF(A34=0,0,$B$5*$B$21/100*prix_elec*(1+g_elec)^A34)</f>
        <v/>
      </c>
      <c r="E34" s="5">
        <f>IF(A34=0,0,$B$5*$B$11*(1+g_entretien)^A34)</f>
        <v/>
      </c>
      <c r="F34" s="5">
        <f>IF(A34=0,0,infra_entretien_pct*$B$14*(1+g_entretien)^A34)</f>
        <v/>
      </c>
      <c r="G34" s="5">
        <f>IF(A34=$B$4,$B$23+$B$24,0)</f>
        <v/>
      </c>
      <c r="H34" s="5">
        <f>B34-C34+D34+E34+F34-G34</f>
        <v/>
      </c>
      <c r="I34" s="5">
        <f>IF(A34=0,$B$18,0)</f>
        <v/>
      </c>
      <c r="J34" s="5">
        <f>IF(A34=0,0,$B$5*$B$7/100*prix_diesel*(1+g_diesel)^A34)</f>
        <v/>
      </c>
      <c r="K34" s="5">
        <f>IF(A34=0,0,$B$5*$B$8*(1+g_entretien)^A34)</f>
        <v/>
      </c>
      <c r="L34" s="5">
        <f>IF(A34=$B$4,$B$22,0)</f>
        <v/>
      </c>
      <c r="M34" s="5">
        <f>I34+J34+K34-L34</f>
        <v/>
      </c>
      <c r="N34" s="5">
        <f>M34-H34</f>
        <v/>
      </c>
      <c r="O34" s="5">
        <f>1/(1+taux_r)^A34</f>
        <v/>
      </c>
      <c r="P34" s="5">
        <f>H34*O34</f>
        <v/>
      </c>
      <c r="Q34" s="5">
        <f>M34*O34</f>
        <v/>
      </c>
      <c r="R34" s="5">
        <f>R33+N34</f>
        <v/>
      </c>
      <c r="S34" s="5">
        <f>S33+N34*O34</f>
        <v/>
      </c>
      <c r="T34" s="5">
        <f>IF(A34=0,0,$B$5*O34)</f>
        <v/>
      </c>
      <c r="U34" s="6">
        <f>IF(R34&gt;=0,A34,"")</f>
        <v/>
      </c>
      <c r="V34" s="6">
        <f>IF(S34&gt;=0,A34,"")</f>
        <v/>
      </c>
      <c r="W34" s="6">
        <f>IF(A34=0,0,$B$5*$B$7/100*$B$15/1000)</f>
        <v/>
      </c>
      <c r="X34" s="6">
        <f>W34*ratio_wtw</f>
        <v/>
      </c>
      <c r="Y34" s="6">
        <f>IF(A34=0,0,$B$5*$B$21/100*fe_elec/1000000)</f>
        <v/>
      </c>
    </row>
    <row r="35">
      <c r="A35">
        <f>A34+1</f>
        <v/>
      </c>
      <c r="B35" s="5">
        <f>IF(A35=0,$B$19+$B$20,0)</f>
        <v/>
      </c>
      <c r="C35" s="5">
        <f>IF(A35=$B$13,$B$12,0)</f>
        <v/>
      </c>
      <c r="D35" s="5">
        <f>IF(A35=0,0,$B$5*$B$21/100*prix_elec*(1+g_elec)^A35)</f>
        <v/>
      </c>
      <c r="E35" s="5">
        <f>IF(A35=0,0,$B$5*$B$11*(1+g_entretien)^A35)</f>
        <v/>
      </c>
      <c r="F35" s="5">
        <f>IF(A35=0,0,infra_entretien_pct*$B$14*(1+g_entretien)^A35)</f>
        <v/>
      </c>
      <c r="G35" s="5">
        <f>IF(A35=$B$4,$B$23+$B$24,0)</f>
        <v/>
      </c>
      <c r="H35" s="5">
        <f>B35-C35+D35+E35+F35-G35</f>
        <v/>
      </c>
      <c r="I35" s="5">
        <f>IF(A35=0,$B$18,0)</f>
        <v/>
      </c>
      <c r="J35" s="5">
        <f>IF(A35=0,0,$B$5*$B$7/100*prix_diesel*(1+g_diesel)^A35)</f>
        <v/>
      </c>
      <c r="K35" s="5">
        <f>IF(A35=0,0,$B$5*$B$8*(1+g_entretien)^A35)</f>
        <v/>
      </c>
      <c r="L35" s="5">
        <f>IF(A35=$B$4,$B$22,0)</f>
        <v/>
      </c>
      <c r="M35" s="5">
        <f>I35+J35+K35-L35</f>
        <v/>
      </c>
      <c r="N35" s="5">
        <f>M35-H35</f>
        <v/>
      </c>
      <c r="O35" s="5">
        <f>1/(1+taux_r)^A35</f>
        <v/>
      </c>
      <c r="P35" s="5">
        <f>H35*O35</f>
        <v/>
      </c>
      <c r="Q35" s="5">
        <f>M35*O35</f>
        <v/>
      </c>
      <c r="R35" s="5">
        <f>R34+N35</f>
        <v/>
      </c>
      <c r="S35" s="5">
        <f>S34+N35*O35</f>
        <v/>
      </c>
      <c r="T35" s="5">
        <f>IF(A35=0,0,$B$5*O35)</f>
        <v/>
      </c>
      <c r="U35" s="6">
        <f>IF(R35&gt;=0,A35,"")</f>
        <v/>
      </c>
      <c r="V35" s="6">
        <f>IF(S35&gt;=0,A35,"")</f>
        <v/>
      </c>
      <c r="W35" s="6">
        <f>IF(A35=0,0,$B$5*$B$7/100*$B$15/1000)</f>
        <v/>
      </c>
      <c r="X35" s="6">
        <f>W35*ratio_wtw</f>
        <v/>
      </c>
      <c r="Y35" s="6">
        <f>IF(A35=0,0,$B$5*$B$21/100*fe_elec/1000000)</f>
        <v/>
      </c>
    </row>
    <row r="36">
      <c r="A36">
        <f>A35+1</f>
        <v/>
      </c>
      <c r="B36" s="5">
        <f>IF(A36=0,$B$19+$B$20,0)</f>
        <v/>
      </c>
      <c r="C36" s="5">
        <f>IF(A36=$B$13,$B$12,0)</f>
        <v/>
      </c>
      <c r="D36" s="5">
        <f>IF(A36=0,0,$B$5*$B$21/100*prix_elec*(1+g_elec)^A36)</f>
        <v/>
      </c>
      <c r="E36" s="5">
        <f>IF(A36=0,0,$B$5*$B$11*(1+g_entretien)^A36)</f>
        <v/>
      </c>
      <c r="F36" s="5">
        <f>IF(A36=0,0,infra_entretien_pct*$B$14*(1+g_entretien)^A36)</f>
        <v/>
      </c>
      <c r="G36" s="5">
        <f>IF(A36=$B$4,$B$23+$B$24,0)</f>
        <v/>
      </c>
      <c r="H36" s="5">
        <f>B36-C36+D36+E36+F36-G36</f>
        <v/>
      </c>
      <c r="I36" s="5">
        <f>IF(A36=0,$B$18,0)</f>
        <v/>
      </c>
      <c r="J36" s="5">
        <f>IF(A36=0,0,$B$5*$B$7/100*prix_diesel*(1+g_diesel)^A36)</f>
        <v/>
      </c>
      <c r="K36" s="5">
        <f>IF(A36=0,0,$B$5*$B$8*(1+g_entretien)^A36)</f>
        <v/>
      </c>
      <c r="L36" s="5">
        <f>IF(A36=$B$4,$B$22,0)</f>
        <v/>
      </c>
      <c r="M36" s="5">
        <f>I36+J36+K36-L36</f>
        <v/>
      </c>
      <c r="N36" s="5">
        <f>M36-H36</f>
        <v/>
      </c>
      <c r="O36" s="5">
        <f>1/(1+taux_r)^A36</f>
        <v/>
      </c>
      <c r="P36" s="5">
        <f>H36*O36</f>
        <v/>
      </c>
      <c r="Q36" s="5">
        <f>M36*O36</f>
        <v/>
      </c>
      <c r="R36" s="5">
        <f>R35+N36</f>
        <v/>
      </c>
      <c r="S36" s="5">
        <f>S35+N36*O36</f>
        <v/>
      </c>
      <c r="T36" s="5">
        <f>IF(A36=0,0,$B$5*O36)</f>
        <v/>
      </c>
      <c r="U36" s="6">
        <f>IF(R36&gt;=0,A36,"")</f>
        <v/>
      </c>
      <c r="V36" s="6">
        <f>IF(S36&gt;=0,A36,"")</f>
        <v/>
      </c>
      <c r="W36" s="6">
        <f>IF(A36=0,0,$B$5*$B$7/100*$B$15/1000)</f>
        <v/>
      </c>
      <c r="X36" s="6">
        <f>W36*ratio_wtw</f>
        <v/>
      </c>
      <c r="Y36" s="6">
        <f>IF(A36=0,0,$B$5*$B$21/100*fe_elec/1000000)</f>
        <v/>
      </c>
    </row>
    <row r="37">
      <c r="A37">
        <f>A36+1</f>
        <v/>
      </c>
      <c r="B37" s="5">
        <f>IF(A37=0,$B$19+$B$20,0)</f>
        <v/>
      </c>
      <c r="C37" s="5">
        <f>IF(A37=$B$13,$B$12,0)</f>
        <v/>
      </c>
      <c r="D37" s="5">
        <f>IF(A37=0,0,$B$5*$B$21/100*prix_elec*(1+g_elec)^A37)</f>
        <v/>
      </c>
      <c r="E37" s="5">
        <f>IF(A37=0,0,$B$5*$B$11*(1+g_entretien)^A37)</f>
        <v/>
      </c>
      <c r="F37" s="5">
        <f>IF(A37=0,0,infra_entretien_pct*$B$14*(1+g_entretien)^A37)</f>
        <v/>
      </c>
      <c r="G37" s="5">
        <f>IF(A37=$B$4,$B$23+$B$24,0)</f>
        <v/>
      </c>
      <c r="H37" s="5">
        <f>B37-C37+D37+E37+F37-G37</f>
        <v/>
      </c>
      <c r="I37" s="5">
        <f>IF(A37=0,$B$18,0)</f>
        <v/>
      </c>
      <c r="J37" s="5">
        <f>IF(A37=0,0,$B$5*$B$7/100*prix_diesel*(1+g_diesel)^A37)</f>
        <v/>
      </c>
      <c r="K37" s="5">
        <f>IF(A37=0,0,$B$5*$B$8*(1+g_entretien)^A37)</f>
        <v/>
      </c>
      <c r="L37" s="5">
        <f>IF(A37=$B$4,$B$22,0)</f>
        <v/>
      </c>
      <c r="M37" s="5">
        <f>I37+J37+K37-L37</f>
        <v/>
      </c>
      <c r="N37" s="5">
        <f>M37-H37</f>
        <v/>
      </c>
      <c r="O37" s="5">
        <f>1/(1+taux_r)^A37</f>
        <v/>
      </c>
      <c r="P37" s="5">
        <f>H37*O37</f>
        <v/>
      </c>
      <c r="Q37" s="5">
        <f>M37*O37</f>
        <v/>
      </c>
      <c r="R37" s="5">
        <f>R36+N37</f>
        <v/>
      </c>
      <c r="S37" s="5">
        <f>S36+N37*O37</f>
        <v/>
      </c>
      <c r="T37" s="5">
        <f>IF(A37=0,0,$B$5*O37)</f>
        <v/>
      </c>
      <c r="U37" s="6">
        <f>IF(R37&gt;=0,A37,"")</f>
        <v/>
      </c>
      <c r="V37" s="6">
        <f>IF(S37&gt;=0,A37,"")</f>
        <v/>
      </c>
      <c r="W37" s="6">
        <f>IF(A37=0,0,$B$5*$B$7/100*$B$15/1000)</f>
        <v/>
      </c>
      <c r="X37" s="6">
        <f>W37*ratio_wtw</f>
        <v/>
      </c>
      <c r="Y37" s="6">
        <f>IF(A37=0,0,$B$5*$B$21/100*fe_elec/1000000)</f>
        <v/>
      </c>
    </row>
    <row r="38">
      <c r="A38">
        <f>A37+1</f>
        <v/>
      </c>
      <c r="B38" s="5">
        <f>IF(A38=0,$B$19+$B$20,0)</f>
        <v/>
      </c>
      <c r="C38" s="5">
        <f>IF(A38=$B$13,$B$12,0)</f>
        <v/>
      </c>
      <c r="D38" s="5">
        <f>IF(A38=0,0,$B$5*$B$21/100*prix_elec*(1+g_elec)^A38)</f>
        <v/>
      </c>
      <c r="E38" s="5">
        <f>IF(A38=0,0,$B$5*$B$11*(1+g_entretien)^A38)</f>
        <v/>
      </c>
      <c r="F38" s="5">
        <f>IF(A38=0,0,infra_entretien_pct*$B$14*(1+g_entretien)^A38)</f>
        <v/>
      </c>
      <c r="G38" s="5">
        <f>IF(A38=$B$4,$B$23+$B$24,0)</f>
        <v/>
      </c>
      <c r="H38" s="5">
        <f>B38-C38+D38+E38+F38-G38</f>
        <v/>
      </c>
      <c r="I38" s="5">
        <f>IF(A38=0,$B$18,0)</f>
        <v/>
      </c>
      <c r="J38" s="5">
        <f>IF(A38=0,0,$B$5*$B$7/100*prix_diesel*(1+g_diesel)^A38)</f>
        <v/>
      </c>
      <c r="K38" s="5">
        <f>IF(A38=0,0,$B$5*$B$8*(1+g_entretien)^A38)</f>
        <v/>
      </c>
      <c r="L38" s="5">
        <f>IF(A38=$B$4,$B$22,0)</f>
        <v/>
      </c>
      <c r="M38" s="5">
        <f>I38+J38+K38-L38</f>
        <v/>
      </c>
      <c r="N38" s="5">
        <f>M38-H38</f>
        <v/>
      </c>
      <c r="O38" s="5">
        <f>1/(1+taux_r)^A38</f>
        <v/>
      </c>
      <c r="P38" s="5">
        <f>H38*O38</f>
        <v/>
      </c>
      <c r="Q38" s="5">
        <f>M38*O38</f>
        <v/>
      </c>
      <c r="R38" s="5">
        <f>R37+N38</f>
        <v/>
      </c>
      <c r="S38" s="5">
        <f>S37+N38*O38</f>
        <v/>
      </c>
      <c r="T38" s="5">
        <f>IF(A38=0,0,$B$5*O38)</f>
        <v/>
      </c>
      <c r="U38" s="6">
        <f>IF(R38&gt;=0,A38,"")</f>
        <v/>
      </c>
      <c r="V38" s="6">
        <f>IF(S38&gt;=0,A38,"")</f>
        <v/>
      </c>
      <c r="W38" s="6">
        <f>IF(A38=0,0,$B$5*$B$7/100*$B$15/1000)</f>
        <v/>
      </c>
      <c r="X38" s="6">
        <f>W38*ratio_wtw</f>
        <v/>
      </c>
      <c r="Y38" s="6">
        <f>IF(A38=0,0,$B$5*$B$21/100*fe_elec/1000000)</f>
        <v/>
      </c>
    </row>
    <row r="40">
      <c r="A40" s="2" t="inlineStr">
        <is>
          <t>Résultats (formules)</t>
        </is>
      </c>
    </row>
    <row r="41">
      <c r="A41" s="2" t="inlineStr">
        <is>
          <t>TCO actualisé — alternative ($)</t>
        </is>
      </c>
      <c r="B41" s="4">
        <f>SUM(P28:P38)</f>
        <v/>
      </c>
    </row>
    <row r="42">
      <c r="A42" s="2" t="inlineStr">
        <is>
          <t>TCO actualisé — référence ($)</t>
        </is>
      </c>
      <c r="B42" s="4">
        <f>SUM(Q28:Q38)</f>
        <v/>
      </c>
    </row>
    <row r="43">
      <c r="A43" s="2" t="inlineStr">
        <is>
          <t>VAN différentielle réf − alt ($)</t>
        </is>
      </c>
      <c r="B43" s="4">
        <f>B42-B41</f>
        <v/>
      </c>
    </row>
    <row r="44">
      <c r="A44" s="2" t="inlineStr">
        <is>
          <t>km actualisés</t>
        </is>
      </c>
      <c r="B44" s="4">
        <f>SUM(T28:T38)</f>
        <v/>
      </c>
    </row>
    <row r="45">
      <c r="A45" s="2" t="inlineStr">
        <is>
          <t>TCO/km actualisé — alternative ($/km)</t>
        </is>
      </c>
      <c r="B45" s="4">
        <f>B41/B44</f>
        <v/>
      </c>
    </row>
    <row r="46">
      <c r="A46" s="2" t="inlineStr">
        <is>
          <t>TCO/km actualisé — référence ($/km)</t>
        </is>
      </c>
      <c r="B46" s="4">
        <f>B42/B44</f>
        <v/>
      </c>
    </row>
    <row r="47">
      <c r="A47" s="2" t="inlineStr">
        <is>
          <t>Délai de récupération simple (années)</t>
        </is>
      </c>
      <c r="B47" s="4">
        <f>IF(COUNT(U28:U38)=0,"null : jamais atteint sur l'horizon",MIN(U28:U38))</f>
        <v/>
      </c>
    </row>
    <row r="48">
      <c r="A48" s="2" t="inlineStr">
        <is>
          <t>Délai de récupération actualisé (années)</t>
        </is>
      </c>
      <c r="B48" s="4">
        <f>IF(COUNT(V28:V38)=0,"null : jamais atteint sur l'horizon",MIN(V28:V38))</f>
        <v/>
      </c>
    </row>
    <row r="49">
      <c r="A49" s="2" t="inlineStr">
        <is>
          <t>CO2e évité cumulé TTW (t)</t>
        </is>
      </c>
      <c r="B49" s="4">
        <f>SUM(W28:W38)</f>
        <v/>
      </c>
    </row>
    <row r="50">
      <c r="A50" s="2" t="inlineStr">
        <is>
          <t>CO2e évité cumulé WTW (t)</t>
        </is>
      </c>
      <c r="B50" s="4">
        <f>SUM(X28:X38)-SUM(Y28:Y38)</f>
        <v/>
      </c>
    </row>
    <row r="51">
      <c r="A51" s="2" t="inlineStr">
        <is>
          <t>Coût (+) ou gain (−) par tonne WTW évitée ($/t)</t>
        </is>
      </c>
      <c r="B51" s="4">
        <f>(B41-B42)/B50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Cas 4 — Véhicule léger BEV</t>
        </is>
      </c>
    </row>
    <row r="3">
      <c r="A3" s="2" t="inlineStr">
        <is>
          <t>Entrées du cas (constantes)</t>
        </is>
      </c>
    </row>
    <row r="4">
      <c r="A4" t="inlineStr">
        <is>
          <t>Horizon H (années)</t>
        </is>
      </c>
      <c r="B4" s="3" t="n">
        <v>10</v>
      </c>
      <c r="C4" t="inlineStr">
        <is>
          <t>ans</t>
        </is>
      </c>
    </row>
    <row r="5">
      <c r="A5" t="inlineStr">
        <is>
          <t>Kilométrage annuel</t>
        </is>
      </c>
      <c r="B5" s="3" t="n">
        <v>25000</v>
      </c>
      <c r="C5" t="inlineStr">
        <is>
          <t>km/an</t>
        </is>
      </c>
    </row>
    <row r="6">
      <c r="A6" t="inlineStr">
        <is>
          <t>Prix réf (diesel) avant taxes</t>
        </is>
      </c>
      <c r="B6" s="3" t="n">
        <v>45000</v>
      </c>
      <c r="C6" t="inlineStr">
        <is>
          <t>$</t>
        </is>
      </c>
    </row>
    <row r="7">
      <c r="A7" t="inlineStr">
        <is>
          <t>Conso réf</t>
        </is>
      </c>
      <c r="B7" s="3" t="n">
        <v>9</v>
      </c>
      <c r="C7" t="inlineStr">
        <is>
          <t>L/100 km</t>
        </is>
      </c>
    </row>
    <row r="8">
      <c r="A8" t="inlineStr">
        <is>
          <t>Entretien réf</t>
        </is>
      </c>
      <c r="B8" s="3" t="n">
        <v>0.1</v>
      </c>
      <c r="C8" t="inlineStr">
        <is>
          <t>$/km</t>
        </is>
      </c>
    </row>
    <row r="9">
      <c r="A9" t="inlineStr">
        <is>
          <t>Prix alt avant taxes</t>
        </is>
      </c>
      <c r="B9" s="3" t="n">
        <v>49500</v>
      </c>
      <c r="C9" t="inlineStr">
        <is>
          <t>$</t>
        </is>
      </c>
    </row>
    <row r="10">
      <c r="A10" t="inlineStr">
        <is>
          <t>Conso alt</t>
        </is>
      </c>
      <c r="B10" s="3" t="n">
        <v>20</v>
      </c>
      <c r="C10" t="inlineStr">
        <is>
          <t>kWh/100 km</t>
        </is>
      </c>
    </row>
    <row r="11">
      <c r="A11" t="inlineStr">
        <is>
          <t>Entretien alt</t>
        </is>
      </c>
      <c r="B11" s="3" t="n">
        <v>0.07000000000000001</v>
      </c>
      <c r="C11" t="inlineStr">
        <is>
          <t>$/km</t>
        </is>
      </c>
    </row>
    <row r="12">
      <c r="A12" t="inlineStr">
        <is>
          <t>Subvention (montant)</t>
        </is>
      </c>
      <c r="B12" s="3" t="n">
        <v>7000</v>
      </c>
      <c r="C12" t="inlineStr">
        <is>
          <t>$</t>
        </is>
      </c>
    </row>
    <row r="13">
      <c r="A13" t="inlineStr">
        <is>
          <t>Subvention (année de versement)</t>
        </is>
      </c>
      <c r="B13" s="3" t="n">
        <v>0</v>
      </c>
      <c r="C13" t="inlineStr">
        <is>
          <t>année</t>
        </is>
      </c>
    </row>
    <row r="14">
      <c r="A14" t="inlineStr">
        <is>
          <t>Infra — capex avant taxes</t>
        </is>
      </c>
      <c r="B14" s="3" t="n">
        <v>15000</v>
      </c>
      <c r="C14" t="inlineStr">
        <is>
          <t>$</t>
        </is>
      </c>
    </row>
    <row r="15">
      <c r="A15" t="inlineStr">
        <is>
          <t>FE diesel TTW (choix catégorie)</t>
        </is>
      </c>
      <c r="B15" s="4">
        <f>fe_leger</f>
        <v/>
      </c>
      <c r="C15" t="inlineStr">
        <is>
          <t>kg CO2e/L</t>
        </is>
      </c>
    </row>
    <row r="17">
      <c r="A17" s="2" t="inlineStr">
        <is>
          <t>Valeurs dérivées (formules)</t>
        </is>
      </c>
    </row>
    <row r="18">
      <c r="A18" t="inlineStr">
        <is>
          <t>Prix réf avec taxes non récupérables</t>
        </is>
      </c>
      <c r="B18" s="4">
        <f>$B$6*(1+taux_taxes)</f>
        <v/>
      </c>
    </row>
    <row r="19">
      <c r="A19" t="inlineStr">
        <is>
          <t>Prix alt avec taxes non récupérables</t>
        </is>
      </c>
      <c r="B19" s="4">
        <f>$B$9*(1+taux_taxes)</f>
        <v/>
      </c>
    </row>
    <row r="20">
      <c r="A20" t="inlineStr">
        <is>
          <t>Infra avec taxes non récupérables</t>
        </is>
      </c>
      <c r="B20" s="4">
        <f>$B$14*(1+taux_taxes)</f>
        <v/>
      </c>
    </row>
    <row r="21">
      <c r="A21" t="inlineStr">
        <is>
          <t>Conso alt facturée (compteur ou pompe) /100 km</t>
        </is>
      </c>
      <c r="B21" s="4">
        <f>$B$10*fact_hiver/rendement</f>
        <v/>
      </c>
    </row>
    <row r="22">
      <c r="A22" t="inlineStr">
        <is>
          <t>VR réf fin d'horizon (avant taxes, nominale)</t>
        </is>
      </c>
      <c r="B22" s="4">
        <f>MAX($B$6*(1-d_diesel)^$B$4,plancher_vr*$B$6)</f>
        <v/>
      </c>
    </row>
    <row r="23">
      <c r="A23" t="inlineStr">
        <is>
          <t>VR alt fin d'horizon (avant taxes, nominale)</t>
        </is>
      </c>
      <c r="B23" s="4">
        <f>MAX($B$9*(1-d_bev)^$B$4,plancher_vr*$B$9)</f>
        <v/>
      </c>
    </row>
    <row r="24">
      <c r="A24" t="inlineStr">
        <is>
          <t>VR infra fin d'horizon (linéaire sur 15 ans)</t>
        </is>
      </c>
      <c r="B24" s="4">
        <f>IF($B$14&gt;0,$B$14*(duree_vie_infra-$B$4)/duree_vie_infra,0)</f>
        <v/>
      </c>
    </row>
    <row r="27">
      <c r="A27" s="2" t="inlineStr">
        <is>
          <t>n</t>
        </is>
      </c>
      <c r="B27" s="2" t="inlineStr">
        <is>
          <t>Acquisition alt</t>
        </is>
      </c>
      <c r="C27" s="2" t="inlineStr">
        <is>
          <t>Subventions</t>
        </is>
      </c>
      <c r="D27" s="2" t="inlineStr">
        <is>
          <t>Énergie alt</t>
        </is>
      </c>
      <c r="E27" s="2" t="inlineStr">
        <is>
          <t>Entretien alt</t>
        </is>
      </c>
      <c r="F27" s="2" t="inlineStr">
        <is>
          <t>Opex infra</t>
        </is>
      </c>
      <c r="G27" s="2" t="inlineStr">
        <is>
          <t>Résiduels alt</t>
        </is>
      </c>
      <c r="H27" s="2" t="inlineStr">
        <is>
          <t>Flux net alt</t>
        </is>
      </c>
      <c r="I27" s="2" t="inlineStr">
        <is>
          <t>Acquisition réf</t>
        </is>
      </c>
      <c r="J27" s="2" t="inlineStr">
        <is>
          <t>Énergie réf</t>
        </is>
      </c>
      <c r="K27" s="2" t="inlineStr">
        <is>
          <t>Entretien réf</t>
        </is>
      </c>
      <c r="L27" s="2" t="inlineStr">
        <is>
          <t>Résiduels réf</t>
        </is>
      </c>
      <c r="M27" s="2" t="inlineStr">
        <is>
          <t>Flux net réf</t>
        </is>
      </c>
      <c r="N27" s="2" t="inlineStr">
        <is>
          <t>Économie nominale</t>
        </is>
      </c>
      <c r="O27" s="2" t="inlineStr">
        <is>
          <t>Facteur actualisation</t>
        </is>
      </c>
      <c r="P27" s="2" t="inlineStr">
        <is>
          <t>Flux act. alt</t>
        </is>
      </c>
      <c r="Q27" s="2" t="inlineStr">
        <is>
          <t>Flux act. réf</t>
        </is>
      </c>
      <c r="R27" s="2" t="inlineStr">
        <is>
          <t>Cumul économie nominale</t>
        </is>
      </c>
      <c r="S27" s="2" t="inlineStr">
        <is>
          <t>Cumul économie actualisée</t>
        </is>
      </c>
      <c r="T27" s="2" t="inlineStr">
        <is>
          <t>km actualisés</t>
        </is>
      </c>
      <c r="U27" s="2" t="inlineStr">
        <is>
          <t>n si cumul nominal &gt;= 0</t>
        </is>
      </c>
      <c r="V27" s="2" t="inlineStr">
        <is>
          <t>n si cumul actualisé &gt;= 0</t>
        </is>
      </c>
      <c r="W27" s="2" t="inlineStr">
        <is>
          <t>TTW réf (t)</t>
        </is>
      </c>
      <c r="X27" s="2" t="inlineStr">
        <is>
          <t>WTW réf (t)</t>
        </is>
      </c>
      <c r="Y27" s="2" t="inlineStr">
        <is>
          <t>WTW alt (t)</t>
        </is>
      </c>
    </row>
    <row r="28">
      <c r="A28" t="n">
        <v>0</v>
      </c>
      <c r="B28" s="5">
        <f>IF(A28=0,$B$19+$B$20,0)</f>
        <v/>
      </c>
      <c r="C28" s="5">
        <f>IF(A28=$B$13,$B$12,0)</f>
        <v/>
      </c>
      <c r="D28" s="5">
        <f>IF(A28=0,0,$B$5*$B$21/100*prix_elec*(1+g_elec)^A28)</f>
        <v/>
      </c>
      <c r="E28" s="5">
        <f>IF(A28=0,0,$B$5*$B$11*(1+g_entretien)^A28)</f>
        <v/>
      </c>
      <c r="F28" s="5">
        <f>IF(A28=0,0,infra_entretien_pct*$B$14*(1+g_entretien)^A28)</f>
        <v/>
      </c>
      <c r="G28" s="5">
        <f>IF(A28=$B$4,$B$23+$B$24,0)</f>
        <v/>
      </c>
      <c r="H28" s="5">
        <f>B28-C28+D28+E28+F28-G28</f>
        <v/>
      </c>
      <c r="I28" s="5">
        <f>IF(A28=0,$B$18,0)</f>
        <v/>
      </c>
      <c r="J28" s="5">
        <f>IF(A28=0,0,$B$5*$B$7/100*prix_diesel*(1+g_diesel)^A28)</f>
        <v/>
      </c>
      <c r="K28" s="5">
        <f>IF(A28=0,0,$B$5*$B$8*(1+g_entretien)^A28)</f>
        <v/>
      </c>
      <c r="L28" s="5">
        <f>IF(A28=$B$4,$B$22,0)</f>
        <v/>
      </c>
      <c r="M28" s="5">
        <f>I28+J28+K28-L28</f>
        <v/>
      </c>
      <c r="N28" s="5">
        <f>M28-H28</f>
        <v/>
      </c>
      <c r="O28" s="5">
        <f>1/(1+taux_r)^A28</f>
        <v/>
      </c>
      <c r="P28" s="5">
        <f>H28*O28</f>
        <v/>
      </c>
      <c r="Q28" s="5">
        <f>M28*O28</f>
        <v/>
      </c>
      <c r="R28" s="5">
        <f>N28</f>
        <v/>
      </c>
      <c r="S28" s="5">
        <f>N28*O28</f>
        <v/>
      </c>
      <c r="T28" s="5">
        <f>IF(A28=0,0,$B$5*O28)</f>
        <v/>
      </c>
      <c r="U28" s="6">
        <f>IF(R28&gt;=0,A28,"")</f>
        <v/>
      </c>
      <c r="V28" s="6">
        <f>IF(S28&gt;=0,A28,"")</f>
        <v/>
      </c>
      <c r="W28" s="6">
        <f>IF(A28=0,0,$B$5*$B$7/100*$B$15/1000)</f>
        <v/>
      </c>
      <c r="X28" s="6">
        <f>W28*ratio_wtw</f>
        <v/>
      </c>
      <c r="Y28" s="6">
        <f>IF(A28=0,0,$B$5*$B$21/100*fe_elec/1000000)</f>
        <v/>
      </c>
    </row>
    <row r="29">
      <c r="A29">
        <f>A28+1</f>
        <v/>
      </c>
      <c r="B29" s="5">
        <f>IF(A29=0,$B$19+$B$20,0)</f>
        <v/>
      </c>
      <c r="C29" s="5">
        <f>IF(A29=$B$13,$B$12,0)</f>
        <v/>
      </c>
      <c r="D29" s="5">
        <f>IF(A29=0,0,$B$5*$B$21/100*prix_elec*(1+g_elec)^A29)</f>
        <v/>
      </c>
      <c r="E29" s="5">
        <f>IF(A29=0,0,$B$5*$B$11*(1+g_entretien)^A29)</f>
        <v/>
      </c>
      <c r="F29" s="5">
        <f>IF(A29=0,0,infra_entretien_pct*$B$14*(1+g_entretien)^A29)</f>
        <v/>
      </c>
      <c r="G29" s="5">
        <f>IF(A29=$B$4,$B$23+$B$24,0)</f>
        <v/>
      </c>
      <c r="H29" s="5">
        <f>B29-C29+D29+E29+F29-G29</f>
        <v/>
      </c>
      <c r="I29" s="5">
        <f>IF(A29=0,$B$18,0)</f>
        <v/>
      </c>
      <c r="J29" s="5">
        <f>IF(A29=0,0,$B$5*$B$7/100*prix_diesel*(1+g_diesel)^A29)</f>
        <v/>
      </c>
      <c r="K29" s="5">
        <f>IF(A29=0,0,$B$5*$B$8*(1+g_entretien)^A29)</f>
        <v/>
      </c>
      <c r="L29" s="5">
        <f>IF(A29=$B$4,$B$22,0)</f>
        <v/>
      </c>
      <c r="M29" s="5">
        <f>I29+J29+K29-L29</f>
        <v/>
      </c>
      <c r="N29" s="5">
        <f>M29-H29</f>
        <v/>
      </c>
      <c r="O29" s="5">
        <f>1/(1+taux_r)^A29</f>
        <v/>
      </c>
      <c r="P29" s="5">
        <f>H29*O29</f>
        <v/>
      </c>
      <c r="Q29" s="5">
        <f>M29*O29</f>
        <v/>
      </c>
      <c r="R29" s="5">
        <f>R28+N29</f>
        <v/>
      </c>
      <c r="S29" s="5">
        <f>S28+N29*O29</f>
        <v/>
      </c>
      <c r="T29" s="5">
        <f>IF(A29=0,0,$B$5*O29)</f>
        <v/>
      </c>
      <c r="U29" s="6">
        <f>IF(R29&gt;=0,A29,"")</f>
        <v/>
      </c>
      <c r="V29" s="6">
        <f>IF(S29&gt;=0,A29,"")</f>
        <v/>
      </c>
      <c r="W29" s="6">
        <f>IF(A29=0,0,$B$5*$B$7/100*$B$15/1000)</f>
        <v/>
      </c>
      <c r="X29" s="6">
        <f>W29*ratio_wtw</f>
        <v/>
      </c>
      <c r="Y29" s="6">
        <f>IF(A29=0,0,$B$5*$B$21/100*fe_elec/1000000)</f>
        <v/>
      </c>
    </row>
    <row r="30">
      <c r="A30">
        <f>A29+1</f>
        <v/>
      </c>
      <c r="B30" s="5">
        <f>IF(A30=0,$B$19+$B$20,0)</f>
        <v/>
      </c>
      <c r="C30" s="5">
        <f>IF(A30=$B$13,$B$12,0)</f>
        <v/>
      </c>
      <c r="D30" s="5">
        <f>IF(A30=0,0,$B$5*$B$21/100*prix_elec*(1+g_elec)^A30)</f>
        <v/>
      </c>
      <c r="E30" s="5">
        <f>IF(A30=0,0,$B$5*$B$11*(1+g_entretien)^A30)</f>
        <v/>
      </c>
      <c r="F30" s="5">
        <f>IF(A30=0,0,infra_entretien_pct*$B$14*(1+g_entretien)^A30)</f>
        <v/>
      </c>
      <c r="G30" s="5">
        <f>IF(A30=$B$4,$B$23+$B$24,0)</f>
        <v/>
      </c>
      <c r="H30" s="5">
        <f>B30-C30+D30+E30+F30-G30</f>
        <v/>
      </c>
      <c r="I30" s="5">
        <f>IF(A30=0,$B$18,0)</f>
        <v/>
      </c>
      <c r="J30" s="5">
        <f>IF(A30=0,0,$B$5*$B$7/100*prix_diesel*(1+g_diesel)^A30)</f>
        <v/>
      </c>
      <c r="K30" s="5">
        <f>IF(A30=0,0,$B$5*$B$8*(1+g_entretien)^A30)</f>
        <v/>
      </c>
      <c r="L30" s="5">
        <f>IF(A30=$B$4,$B$22,0)</f>
        <v/>
      </c>
      <c r="M30" s="5">
        <f>I30+J30+K30-L30</f>
        <v/>
      </c>
      <c r="N30" s="5">
        <f>M30-H30</f>
        <v/>
      </c>
      <c r="O30" s="5">
        <f>1/(1+taux_r)^A30</f>
        <v/>
      </c>
      <c r="P30" s="5">
        <f>H30*O30</f>
        <v/>
      </c>
      <c r="Q30" s="5">
        <f>M30*O30</f>
        <v/>
      </c>
      <c r="R30" s="5">
        <f>R29+N30</f>
        <v/>
      </c>
      <c r="S30" s="5">
        <f>S29+N30*O30</f>
        <v/>
      </c>
      <c r="T30" s="5">
        <f>IF(A30=0,0,$B$5*O30)</f>
        <v/>
      </c>
      <c r="U30" s="6">
        <f>IF(R30&gt;=0,A30,"")</f>
        <v/>
      </c>
      <c r="V30" s="6">
        <f>IF(S30&gt;=0,A30,"")</f>
        <v/>
      </c>
      <c r="W30" s="6">
        <f>IF(A30=0,0,$B$5*$B$7/100*$B$15/1000)</f>
        <v/>
      </c>
      <c r="X30" s="6">
        <f>W30*ratio_wtw</f>
        <v/>
      </c>
      <c r="Y30" s="6">
        <f>IF(A30=0,0,$B$5*$B$21/100*fe_elec/1000000)</f>
        <v/>
      </c>
    </row>
    <row r="31">
      <c r="A31">
        <f>A30+1</f>
        <v/>
      </c>
      <c r="B31" s="5">
        <f>IF(A31=0,$B$19+$B$20,0)</f>
        <v/>
      </c>
      <c r="C31" s="5">
        <f>IF(A31=$B$13,$B$12,0)</f>
        <v/>
      </c>
      <c r="D31" s="5">
        <f>IF(A31=0,0,$B$5*$B$21/100*prix_elec*(1+g_elec)^A31)</f>
        <v/>
      </c>
      <c r="E31" s="5">
        <f>IF(A31=0,0,$B$5*$B$11*(1+g_entretien)^A31)</f>
        <v/>
      </c>
      <c r="F31" s="5">
        <f>IF(A31=0,0,infra_entretien_pct*$B$14*(1+g_entretien)^A31)</f>
        <v/>
      </c>
      <c r="G31" s="5">
        <f>IF(A31=$B$4,$B$23+$B$24,0)</f>
        <v/>
      </c>
      <c r="H31" s="5">
        <f>B31-C31+D31+E31+F31-G31</f>
        <v/>
      </c>
      <c r="I31" s="5">
        <f>IF(A31=0,$B$18,0)</f>
        <v/>
      </c>
      <c r="J31" s="5">
        <f>IF(A31=0,0,$B$5*$B$7/100*prix_diesel*(1+g_diesel)^A31)</f>
        <v/>
      </c>
      <c r="K31" s="5">
        <f>IF(A31=0,0,$B$5*$B$8*(1+g_entretien)^A31)</f>
        <v/>
      </c>
      <c r="L31" s="5">
        <f>IF(A31=$B$4,$B$22,0)</f>
        <v/>
      </c>
      <c r="M31" s="5">
        <f>I31+J31+K31-L31</f>
        <v/>
      </c>
      <c r="N31" s="5">
        <f>M31-H31</f>
        <v/>
      </c>
      <c r="O31" s="5">
        <f>1/(1+taux_r)^A31</f>
        <v/>
      </c>
      <c r="P31" s="5">
        <f>H31*O31</f>
        <v/>
      </c>
      <c r="Q31" s="5">
        <f>M31*O31</f>
        <v/>
      </c>
      <c r="R31" s="5">
        <f>R30+N31</f>
        <v/>
      </c>
      <c r="S31" s="5">
        <f>S30+N31*O31</f>
        <v/>
      </c>
      <c r="T31" s="5">
        <f>IF(A31=0,0,$B$5*O31)</f>
        <v/>
      </c>
      <c r="U31" s="6">
        <f>IF(R31&gt;=0,A31,"")</f>
        <v/>
      </c>
      <c r="V31" s="6">
        <f>IF(S31&gt;=0,A31,"")</f>
        <v/>
      </c>
      <c r="W31" s="6">
        <f>IF(A31=0,0,$B$5*$B$7/100*$B$15/1000)</f>
        <v/>
      </c>
      <c r="X31" s="6">
        <f>W31*ratio_wtw</f>
        <v/>
      </c>
      <c r="Y31" s="6">
        <f>IF(A31=0,0,$B$5*$B$21/100*fe_elec/1000000)</f>
        <v/>
      </c>
    </row>
    <row r="32">
      <c r="A32">
        <f>A31+1</f>
        <v/>
      </c>
      <c r="B32" s="5">
        <f>IF(A32=0,$B$19+$B$20,0)</f>
        <v/>
      </c>
      <c r="C32" s="5">
        <f>IF(A32=$B$13,$B$12,0)</f>
        <v/>
      </c>
      <c r="D32" s="5">
        <f>IF(A32=0,0,$B$5*$B$21/100*prix_elec*(1+g_elec)^A32)</f>
        <v/>
      </c>
      <c r="E32" s="5">
        <f>IF(A32=0,0,$B$5*$B$11*(1+g_entretien)^A32)</f>
        <v/>
      </c>
      <c r="F32" s="5">
        <f>IF(A32=0,0,infra_entretien_pct*$B$14*(1+g_entretien)^A32)</f>
        <v/>
      </c>
      <c r="G32" s="5">
        <f>IF(A32=$B$4,$B$23+$B$24,0)</f>
        <v/>
      </c>
      <c r="H32" s="5">
        <f>B32-C32+D32+E32+F32-G32</f>
        <v/>
      </c>
      <c r="I32" s="5">
        <f>IF(A32=0,$B$18,0)</f>
        <v/>
      </c>
      <c r="J32" s="5">
        <f>IF(A32=0,0,$B$5*$B$7/100*prix_diesel*(1+g_diesel)^A32)</f>
        <v/>
      </c>
      <c r="K32" s="5">
        <f>IF(A32=0,0,$B$5*$B$8*(1+g_entretien)^A32)</f>
        <v/>
      </c>
      <c r="L32" s="5">
        <f>IF(A32=$B$4,$B$22,0)</f>
        <v/>
      </c>
      <c r="M32" s="5">
        <f>I32+J32+K32-L32</f>
        <v/>
      </c>
      <c r="N32" s="5">
        <f>M32-H32</f>
        <v/>
      </c>
      <c r="O32" s="5">
        <f>1/(1+taux_r)^A32</f>
        <v/>
      </c>
      <c r="P32" s="5">
        <f>H32*O32</f>
        <v/>
      </c>
      <c r="Q32" s="5">
        <f>M32*O32</f>
        <v/>
      </c>
      <c r="R32" s="5">
        <f>R31+N32</f>
        <v/>
      </c>
      <c r="S32" s="5">
        <f>S31+N32*O32</f>
        <v/>
      </c>
      <c r="T32" s="5">
        <f>IF(A32=0,0,$B$5*O32)</f>
        <v/>
      </c>
      <c r="U32" s="6">
        <f>IF(R32&gt;=0,A32,"")</f>
        <v/>
      </c>
      <c r="V32" s="6">
        <f>IF(S32&gt;=0,A32,"")</f>
        <v/>
      </c>
      <c r="W32" s="6">
        <f>IF(A32=0,0,$B$5*$B$7/100*$B$15/1000)</f>
        <v/>
      </c>
      <c r="X32" s="6">
        <f>W32*ratio_wtw</f>
        <v/>
      </c>
      <c r="Y32" s="6">
        <f>IF(A32=0,0,$B$5*$B$21/100*fe_elec/1000000)</f>
        <v/>
      </c>
    </row>
    <row r="33">
      <c r="A33">
        <f>A32+1</f>
        <v/>
      </c>
      <c r="B33" s="5">
        <f>IF(A33=0,$B$19+$B$20,0)</f>
        <v/>
      </c>
      <c r="C33" s="5">
        <f>IF(A33=$B$13,$B$12,0)</f>
        <v/>
      </c>
      <c r="D33" s="5">
        <f>IF(A33=0,0,$B$5*$B$21/100*prix_elec*(1+g_elec)^A33)</f>
        <v/>
      </c>
      <c r="E33" s="5">
        <f>IF(A33=0,0,$B$5*$B$11*(1+g_entretien)^A33)</f>
        <v/>
      </c>
      <c r="F33" s="5">
        <f>IF(A33=0,0,infra_entretien_pct*$B$14*(1+g_entretien)^A33)</f>
        <v/>
      </c>
      <c r="G33" s="5">
        <f>IF(A33=$B$4,$B$23+$B$24,0)</f>
        <v/>
      </c>
      <c r="H33" s="5">
        <f>B33-C33+D33+E33+F33-G33</f>
        <v/>
      </c>
      <c r="I33" s="5">
        <f>IF(A33=0,$B$18,0)</f>
        <v/>
      </c>
      <c r="J33" s="5">
        <f>IF(A33=0,0,$B$5*$B$7/100*prix_diesel*(1+g_diesel)^A33)</f>
        <v/>
      </c>
      <c r="K33" s="5">
        <f>IF(A33=0,0,$B$5*$B$8*(1+g_entretien)^A33)</f>
        <v/>
      </c>
      <c r="L33" s="5">
        <f>IF(A33=$B$4,$B$22,0)</f>
        <v/>
      </c>
      <c r="M33" s="5">
        <f>I33+J33+K33-L33</f>
        <v/>
      </c>
      <c r="N33" s="5">
        <f>M33-H33</f>
        <v/>
      </c>
      <c r="O33" s="5">
        <f>1/(1+taux_r)^A33</f>
        <v/>
      </c>
      <c r="P33" s="5">
        <f>H33*O33</f>
        <v/>
      </c>
      <c r="Q33" s="5">
        <f>M33*O33</f>
        <v/>
      </c>
      <c r="R33" s="5">
        <f>R32+N33</f>
        <v/>
      </c>
      <c r="S33" s="5">
        <f>S32+N33*O33</f>
        <v/>
      </c>
      <c r="T33" s="5">
        <f>IF(A33=0,0,$B$5*O33)</f>
        <v/>
      </c>
      <c r="U33" s="6">
        <f>IF(R33&gt;=0,A33,"")</f>
        <v/>
      </c>
      <c r="V33" s="6">
        <f>IF(S33&gt;=0,A33,"")</f>
        <v/>
      </c>
      <c r="W33" s="6">
        <f>IF(A33=0,0,$B$5*$B$7/100*$B$15/1000)</f>
        <v/>
      </c>
      <c r="X33" s="6">
        <f>W33*ratio_wtw</f>
        <v/>
      </c>
      <c r="Y33" s="6">
        <f>IF(A33=0,0,$B$5*$B$21/100*fe_elec/1000000)</f>
        <v/>
      </c>
    </row>
    <row r="34">
      <c r="A34">
        <f>A33+1</f>
        <v/>
      </c>
      <c r="B34" s="5">
        <f>IF(A34=0,$B$19+$B$20,0)</f>
        <v/>
      </c>
      <c r="C34" s="5">
        <f>IF(A34=$B$13,$B$12,0)</f>
        <v/>
      </c>
      <c r="D34" s="5">
        <f>IF(A34=0,0,$B$5*$B$21/100*prix_elec*(1+g_elec)^A34)</f>
        <v/>
      </c>
      <c r="E34" s="5">
        <f>IF(A34=0,0,$B$5*$B$11*(1+g_entretien)^A34)</f>
        <v/>
      </c>
      <c r="F34" s="5">
        <f>IF(A34=0,0,infra_entretien_pct*$B$14*(1+g_entretien)^A34)</f>
        <v/>
      </c>
      <c r="G34" s="5">
        <f>IF(A34=$B$4,$B$23+$B$24,0)</f>
        <v/>
      </c>
      <c r="H34" s="5">
        <f>B34-C34+D34+E34+F34-G34</f>
        <v/>
      </c>
      <c r="I34" s="5">
        <f>IF(A34=0,$B$18,0)</f>
        <v/>
      </c>
      <c r="J34" s="5">
        <f>IF(A34=0,0,$B$5*$B$7/100*prix_diesel*(1+g_diesel)^A34)</f>
        <v/>
      </c>
      <c r="K34" s="5">
        <f>IF(A34=0,0,$B$5*$B$8*(1+g_entretien)^A34)</f>
        <v/>
      </c>
      <c r="L34" s="5">
        <f>IF(A34=$B$4,$B$22,0)</f>
        <v/>
      </c>
      <c r="M34" s="5">
        <f>I34+J34+K34-L34</f>
        <v/>
      </c>
      <c r="N34" s="5">
        <f>M34-H34</f>
        <v/>
      </c>
      <c r="O34" s="5">
        <f>1/(1+taux_r)^A34</f>
        <v/>
      </c>
      <c r="P34" s="5">
        <f>H34*O34</f>
        <v/>
      </c>
      <c r="Q34" s="5">
        <f>M34*O34</f>
        <v/>
      </c>
      <c r="R34" s="5">
        <f>R33+N34</f>
        <v/>
      </c>
      <c r="S34" s="5">
        <f>S33+N34*O34</f>
        <v/>
      </c>
      <c r="T34" s="5">
        <f>IF(A34=0,0,$B$5*O34)</f>
        <v/>
      </c>
      <c r="U34" s="6">
        <f>IF(R34&gt;=0,A34,"")</f>
        <v/>
      </c>
      <c r="V34" s="6">
        <f>IF(S34&gt;=0,A34,"")</f>
        <v/>
      </c>
      <c r="W34" s="6">
        <f>IF(A34=0,0,$B$5*$B$7/100*$B$15/1000)</f>
        <v/>
      </c>
      <c r="X34" s="6">
        <f>W34*ratio_wtw</f>
        <v/>
      </c>
      <c r="Y34" s="6">
        <f>IF(A34=0,0,$B$5*$B$21/100*fe_elec/1000000)</f>
        <v/>
      </c>
    </row>
    <row r="35">
      <c r="A35">
        <f>A34+1</f>
        <v/>
      </c>
      <c r="B35" s="5">
        <f>IF(A35=0,$B$19+$B$20,0)</f>
        <v/>
      </c>
      <c r="C35" s="5">
        <f>IF(A35=$B$13,$B$12,0)</f>
        <v/>
      </c>
      <c r="D35" s="5">
        <f>IF(A35=0,0,$B$5*$B$21/100*prix_elec*(1+g_elec)^A35)</f>
        <v/>
      </c>
      <c r="E35" s="5">
        <f>IF(A35=0,0,$B$5*$B$11*(1+g_entretien)^A35)</f>
        <v/>
      </c>
      <c r="F35" s="5">
        <f>IF(A35=0,0,infra_entretien_pct*$B$14*(1+g_entretien)^A35)</f>
        <v/>
      </c>
      <c r="G35" s="5">
        <f>IF(A35=$B$4,$B$23+$B$24,0)</f>
        <v/>
      </c>
      <c r="H35" s="5">
        <f>B35-C35+D35+E35+F35-G35</f>
        <v/>
      </c>
      <c r="I35" s="5">
        <f>IF(A35=0,$B$18,0)</f>
        <v/>
      </c>
      <c r="J35" s="5">
        <f>IF(A35=0,0,$B$5*$B$7/100*prix_diesel*(1+g_diesel)^A35)</f>
        <v/>
      </c>
      <c r="K35" s="5">
        <f>IF(A35=0,0,$B$5*$B$8*(1+g_entretien)^A35)</f>
        <v/>
      </c>
      <c r="L35" s="5">
        <f>IF(A35=$B$4,$B$22,0)</f>
        <v/>
      </c>
      <c r="M35" s="5">
        <f>I35+J35+K35-L35</f>
        <v/>
      </c>
      <c r="N35" s="5">
        <f>M35-H35</f>
        <v/>
      </c>
      <c r="O35" s="5">
        <f>1/(1+taux_r)^A35</f>
        <v/>
      </c>
      <c r="P35" s="5">
        <f>H35*O35</f>
        <v/>
      </c>
      <c r="Q35" s="5">
        <f>M35*O35</f>
        <v/>
      </c>
      <c r="R35" s="5">
        <f>R34+N35</f>
        <v/>
      </c>
      <c r="S35" s="5">
        <f>S34+N35*O35</f>
        <v/>
      </c>
      <c r="T35" s="5">
        <f>IF(A35=0,0,$B$5*O35)</f>
        <v/>
      </c>
      <c r="U35" s="6">
        <f>IF(R35&gt;=0,A35,"")</f>
        <v/>
      </c>
      <c r="V35" s="6">
        <f>IF(S35&gt;=0,A35,"")</f>
        <v/>
      </c>
      <c r="W35" s="6">
        <f>IF(A35=0,0,$B$5*$B$7/100*$B$15/1000)</f>
        <v/>
      </c>
      <c r="X35" s="6">
        <f>W35*ratio_wtw</f>
        <v/>
      </c>
      <c r="Y35" s="6">
        <f>IF(A35=0,0,$B$5*$B$21/100*fe_elec/1000000)</f>
        <v/>
      </c>
    </row>
    <row r="36">
      <c r="A36">
        <f>A35+1</f>
        <v/>
      </c>
      <c r="B36" s="5">
        <f>IF(A36=0,$B$19+$B$20,0)</f>
        <v/>
      </c>
      <c r="C36" s="5">
        <f>IF(A36=$B$13,$B$12,0)</f>
        <v/>
      </c>
      <c r="D36" s="5">
        <f>IF(A36=0,0,$B$5*$B$21/100*prix_elec*(1+g_elec)^A36)</f>
        <v/>
      </c>
      <c r="E36" s="5">
        <f>IF(A36=0,0,$B$5*$B$11*(1+g_entretien)^A36)</f>
        <v/>
      </c>
      <c r="F36" s="5">
        <f>IF(A36=0,0,infra_entretien_pct*$B$14*(1+g_entretien)^A36)</f>
        <v/>
      </c>
      <c r="G36" s="5">
        <f>IF(A36=$B$4,$B$23+$B$24,0)</f>
        <v/>
      </c>
      <c r="H36" s="5">
        <f>B36-C36+D36+E36+F36-G36</f>
        <v/>
      </c>
      <c r="I36" s="5">
        <f>IF(A36=0,$B$18,0)</f>
        <v/>
      </c>
      <c r="J36" s="5">
        <f>IF(A36=0,0,$B$5*$B$7/100*prix_diesel*(1+g_diesel)^A36)</f>
        <v/>
      </c>
      <c r="K36" s="5">
        <f>IF(A36=0,0,$B$5*$B$8*(1+g_entretien)^A36)</f>
        <v/>
      </c>
      <c r="L36" s="5">
        <f>IF(A36=$B$4,$B$22,0)</f>
        <v/>
      </c>
      <c r="M36" s="5">
        <f>I36+J36+K36-L36</f>
        <v/>
      </c>
      <c r="N36" s="5">
        <f>M36-H36</f>
        <v/>
      </c>
      <c r="O36" s="5">
        <f>1/(1+taux_r)^A36</f>
        <v/>
      </c>
      <c r="P36" s="5">
        <f>H36*O36</f>
        <v/>
      </c>
      <c r="Q36" s="5">
        <f>M36*O36</f>
        <v/>
      </c>
      <c r="R36" s="5">
        <f>R35+N36</f>
        <v/>
      </c>
      <c r="S36" s="5">
        <f>S35+N36*O36</f>
        <v/>
      </c>
      <c r="T36" s="5">
        <f>IF(A36=0,0,$B$5*O36)</f>
        <v/>
      </c>
      <c r="U36" s="6">
        <f>IF(R36&gt;=0,A36,"")</f>
        <v/>
      </c>
      <c r="V36" s="6">
        <f>IF(S36&gt;=0,A36,"")</f>
        <v/>
      </c>
      <c r="W36" s="6">
        <f>IF(A36=0,0,$B$5*$B$7/100*$B$15/1000)</f>
        <v/>
      </c>
      <c r="X36" s="6">
        <f>W36*ratio_wtw</f>
        <v/>
      </c>
      <c r="Y36" s="6">
        <f>IF(A36=0,0,$B$5*$B$21/100*fe_elec/1000000)</f>
        <v/>
      </c>
    </row>
    <row r="37">
      <c r="A37">
        <f>A36+1</f>
        <v/>
      </c>
      <c r="B37" s="5">
        <f>IF(A37=0,$B$19+$B$20,0)</f>
        <v/>
      </c>
      <c r="C37" s="5">
        <f>IF(A37=$B$13,$B$12,0)</f>
        <v/>
      </c>
      <c r="D37" s="5">
        <f>IF(A37=0,0,$B$5*$B$21/100*prix_elec*(1+g_elec)^A37)</f>
        <v/>
      </c>
      <c r="E37" s="5">
        <f>IF(A37=0,0,$B$5*$B$11*(1+g_entretien)^A37)</f>
        <v/>
      </c>
      <c r="F37" s="5">
        <f>IF(A37=0,0,infra_entretien_pct*$B$14*(1+g_entretien)^A37)</f>
        <v/>
      </c>
      <c r="G37" s="5">
        <f>IF(A37=$B$4,$B$23+$B$24,0)</f>
        <v/>
      </c>
      <c r="H37" s="5">
        <f>B37-C37+D37+E37+F37-G37</f>
        <v/>
      </c>
      <c r="I37" s="5">
        <f>IF(A37=0,$B$18,0)</f>
        <v/>
      </c>
      <c r="J37" s="5">
        <f>IF(A37=0,0,$B$5*$B$7/100*prix_diesel*(1+g_diesel)^A37)</f>
        <v/>
      </c>
      <c r="K37" s="5">
        <f>IF(A37=0,0,$B$5*$B$8*(1+g_entretien)^A37)</f>
        <v/>
      </c>
      <c r="L37" s="5">
        <f>IF(A37=$B$4,$B$22,0)</f>
        <v/>
      </c>
      <c r="M37" s="5">
        <f>I37+J37+K37-L37</f>
        <v/>
      </c>
      <c r="N37" s="5">
        <f>M37-H37</f>
        <v/>
      </c>
      <c r="O37" s="5">
        <f>1/(1+taux_r)^A37</f>
        <v/>
      </c>
      <c r="P37" s="5">
        <f>H37*O37</f>
        <v/>
      </c>
      <c r="Q37" s="5">
        <f>M37*O37</f>
        <v/>
      </c>
      <c r="R37" s="5">
        <f>R36+N37</f>
        <v/>
      </c>
      <c r="S37" s="5">
        <f>S36+N37*O37</f>
        <v/>
      </c>
      <c r="T37" s="5">
        <f>IF(A37=0,0,$B$5*O37)</f>
        <v/>
      </c>
      <c r="U37" s="6">
        <f>IF(R37&gt;=0,A37,"")</f>
        <v/>
      </c>
      <c r="V37" s="6">
        <f>IF(S37&gt;=0,A37,"")</f>
        <v/>
      </c>
      <c r="W37" s="6">
        <f>IF(A37=0,0,$B$5*$B$7/100*$B$15/1000)</f>
        <v/>
      </c>
      <c r="X37" s="6">
        <f>W37*ratio_wtw</f>
        <v/>
      </c>
      <c r="Y37" s="6">
        <f>IF(A37=0,0,$B$5*$B$21/100*fe_elec/1000000)</f>
        <v/>
      </c>
    </row>
    <row r="38">
      <c r="A38">
        <f>A37+1</f>
        <v/>
      </c>
      <c r="B38" s="5">
        <f>IF(A38=0,$B$19+$B$20,0)</f>
        <v/>
      </c>
      <c r="C38" s="5">
        <f>IF(A38=$B$13,$B$12,0)</f>
        <v/>
      </c>
      <c r="D38" s="5">
        <f>IF(A38=0,0,$B$5*$B$21/100*prix_elec*(1+g_elec)^A38)</f>
        <v/>
      </c>
      <c r="E38" s="5">
        <f>IF(A38=0,0,$B$5*$B$11*(1+g_entretien)^A38)</f>
        <v/>
      </c>
      <c r="F38" s="5">
        <f>IF(A38=0,0,infra_entretien_pct*$B$14*(1+g_entretien)^A38)</f>
        <v/>
      </c>
      <c r="G38" s="5">
        <f>IF(A38=$B$4,$B$23+$B$24,0)</f>
        <v/>
      </c>
      <c r="H38" s="5">
        <f>B38-C38+D38+E38+F38-G38</f>
        <v/>
      </c>
      <c r="I38" s="5">
        <f>IF(A38=0,$B$18,0)</f>
        <v/>
      </c>
      <c r="J38" s="5">
        <f>IF(A38=0,0,$B$5*$B$7/100*prix_diesel*(1+g_diesel)^A38)</f>
        <v/>
      </c>
      <c r="K38" s="5">
        <f>IF(A38=0,0,$B$5*$B$8*(1+g_entretien)^A38)</f>
        <v/>
      </c>
      <c r="L38" s="5">
        <f>IF(A38=$B$4,$B$22,0)</f>
        <v/>
      </c>
      <c r="M38" s="5">
        <f>I38+J38+K38-L38</f>
        <v/>
      </c>
      <c r="N38" s="5">
        <f>M38-H38</f>
        <v/>
      </c>
      <c r="O38" s="5">
        <f>1/(1+taux_r)^A38</f>
        <v/>
      </c>
      <c r="P38" s="5">
        <f>H38*O38</f>
        <v/>
      </c>
      <c r="Q38" s="5">
        <f>M38*O38</f>
        <v/>
      </c>
      <c r="R38" s="5">
        <f>R37+N38</f>
        <v/>
      </c>
      <c r="S38" s="5">
        <f>S37+N38*O38</f>
        <v/>
      </c>
      <c r="T38" s="5">
        <f>IF(A38=0,0,$B$5*O38)</f>
        <v/>
      </c>
      <c r="U38" s="6">
        <f>IF(R38&gt;=0,A38,"")</f>
        <v/>
      </c>
      <c r="V38" s="6">
        <f>IF(S38&gt;=0,A38,"")</f>
        <v/>
      </c>
      <c r="W38" s="6">
        <f>IF(A38=0,0,$B$5*$B$7/100*$B$15/1000)</f>
        <v/>
      </c>
      <c r="X38" s="6">
        <f>W38*ratio_wtw</f>
        <v/>
      </c>
      <c r="Y38" s="6">
        <f>IF(A38=0,0,$B$5*$B$21/100*fe_elec/1000000)</f>
        <v/>
      </c>
    </row>
    <row r="40">
      <c r="A40" s="2" t="inlineStr">
        <is>
          <t>Résultats (formules)</t>
        </is>
      </c>
    </row>
    <row r="41">
      <c r="A41" s="2" t="inlineStr">
        <is>
          <t>TCO actualisé — alternative ($)</t>
        </is>
      </c>
      <c r="B41" s="4">
        <f>SUM(P28:P38)</f>
        <v/>
      </c>
    </row>
    <row r="42">
      <c r="A42" s="2" t="inlineStr">
        <is>
          <t>TCO actualisé — référence ($)</t>
        </is>
      </c>
      <c r="B42" s="4">
        <f>SUM(Q28:Q38)</f>
        <v/>
      </c>
    </row>
    <row r="43">
      <c r="A43" s="2" t="inlineStr">
        <is>
          <t>VAN différentielle réf − alt ($)</t>
        </is>
      </c>
      <c r="B43" s="4">
        <f>B42-B41</f>
        <v/>
      </c>
    </row>
    <row r="44">
      <c r="A44" s="2" t="inlineStr">
        <is>
          <t>km actualisés</t>
        </is>
      </c>
      <c r="B44" s="4">
        <f>SUM(T28:T38)</f>
        <v/>
      </c>
    </row>
    <row r="45">
      <c r="A45" s="2" t="inlineStr">
        <is>
          <t>TCO/km actualisé — alternative ($/km)</t>
        </is>
      </c>
      <c r="B45" s="4">
        <f>B41/B44</f>
        <v/>
      </c>
    </row>
    <row r="46">
      <c r="A46" s="2" t="inlineStr">
        <is>
          <t>TCO/km actualisé — référence ($/km)</t>
        </is>
      </c>
      <c r="B46" s="4">
        <f>B42/B44</f>
        <v/>
      </c>
    </row>
    <row r="47">
      <c r="A47" s="2" t="inlineStr">
        <is>
          <t>Délai de récupération simple (années)</t>
        </is>
      </c>
      <c r="B47" s="4">
        <f>IF(COUNT(U28:U38)=0,"null : jamais atteint sur l'horizon",MIN(U28:U38))</f>
        <v/>
      </c>
    </row>
    <row r="48">
      <c r="A48" s="2" t="inlineStr">
        <is>
          <t>Délai de récupération actualisé (années)</t>
        </is>
      </c>
      <c r="B48" s="4">
        <f>IF(COUNT(V28:V38)=0,"null : jamais atteint sur l'horizon",MIN(V28:V38))</f>
        <v/>
      </c>
    </row>
    <row r="49">
      <c r="A49" s="2" t="inlineStr">
        <is>
          <t>CO2e évité cumulé TTW (t)</t>
        </is>
      </c>
      <c r="B49" s="4">
        <f>SUM(W28:W38)</f>
        <v/>
      </c>
    </row>
    <row r="50">
      <c r="A50" s="2" t="inlineStr">
        <is>
          <t>CO2e évité cumulé WTW (t)</t>
        </is>
      </c>
      <c r="B50" s="4">
        <f>SUM(X28:X38)-SUM(Y28:Y38)</f>
        <v/>
      </c>
    </row>
    <row r="51">
      <c r="A51" s="2" t="inlineStr">
        <is>
          <t>Coût (+) ou gain (−) par tonne WTW évitée ($/t)</t>
        </is>
      </c>
      <c r="B51" s="4">
        <f>(B41-B42)/B50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Cas 5 — Camion lourd FCEV (H2 électrolyse)</t>
        </is>
      </c>
    </row>
    <row r="3">
      <c r="A3" s="2" t="inlineStr">
        <is>
          <t>Entrées du cas (constantes)</t>
        </is>
      </c>
    </row>
    <row r="4">
      <c r="A4" t="inlineStr">
        <is>
          <t>Horizon H (années)</t>
        </is>
      </c>
      <c r="B4" s="3" t="n">
        <v>10</v>
      </c>
      <c r="C4" t="inlineStr">
        <is>
          <t>ans</t>
        </is>
      </c>
    </row>
    <row r="5">
      <c r="A5" t="inlineStr">
        <is>
          <t>Kilométrage annuel</t>
        </is>
      </c>
      <c r="B5" s="3" t="n">
        <v>60000</v>
      </c>
      <c r="C5" t="inlineStr">
        <is>
          <t>km/an</t>
        </is>
      </c>
    </row>
    <row r="6">
      <c r="A6" t="inlineStr">
        <is>
          <t>Prix réf (diesel) avant taxes</t>
        </is>
      </c>
      <c r="B6" s="3" t="n">
        <v>200000</v>
      </c>
      <c r="C6" t="inlineStr">
        <is>
          <t>$</t>
        </is>
      </c>
    </row>
    <row r="7">
      <c r="A7" t="inlineStr">
        <is>
          <t>Conso réf</t>
        </is>
      </c>
      <c r="B7" s="3" t="n">
        <v>36</v>
      </c>
      <c r="C7" t="inlineStr">
        <is>
          <t>L/100 km</t>
        </is>
      </c>
    </row>
    <row r="8">
      <c r="A8" t="inlineStr">
        <is>
          <t>Entretien réf</t>
        </is>
      </c>
      <c r="B8" s="3" t="n">
        <v>0.35</v>
      </c>
      <c r="C8" t="inlineStr">
        <is>
          <t>$/km</t>
        </is>
      </c>
    </row>
    <row r="9">
      <c r="A9" t="inlineStr">
        <is>
          <t>Prix alt avant taxes</t>
        </is>
      </c>
      <c r="B9" s="3" t="n">
        <v>720000</v>
      </c>
      <c r="C9" t="inlineStr">
        <is>
          <t>$</t>
        </is>
      </c>
    </row>
    <row r="10">
      <c r="A10" t="inlineStr">
        <is>
          <t>Conso alt</t>
        </is>
      </c>
      <c r="B10" s="3" t="n">
        <v>8</v>
      </c>
      <c r="C10" t="inlineStr">
        <is>
          <t>kg H2/100 km</t>
        </is>
      </c>
    </row>
    <row r="11">
      <c r="A11" t="inlineStr">
        <is>
          <t>Entretien alt</t>
        </is>
      </c>
      <c r="B11" s="3" t="n">
        <v>0.32</v>
      </c>
      <c r="C11" t="inlineStr">
        <is>
          <t>$/km</t>
        </is>
      </c>
    </row>
    <row r="12">
      <c r="A12" t="inlineStr">
        <is>
          <t>Subvention (montant)</t>
        </is>
      </c>
      <c r="B12" s="3" t="n">
        <v>150000</v>
      </c>
      <c r="C12" t="inlineStr">
        <is>
          <t>$</t>
        </is>
      </c>
    </row>
    <row r="13">
      <c r="A13" t="inlineStr">
        <is>
          <t>Subvention (année de versement)</t>
        </is>
      </c>
      <c r="B13" s="3" t="n">
        <v>1</v>
      </c>
      <c r="C13" t="inlineStr">
        <is>
          <t>année</t>
        </is>
      </c>
    </row>
    <row r="14">
      <c r="A14" t="inlineStr">
        <is>
          <t>Infra — capex avant taxes</t>
        </is>
      </c>
      <c r="B14" s="3" t="n">
        <v>0</v>
      </c>
      <c r="C14" t="inlineStr">
        <is>
          <t>$</t>
        </is>
      </c>
    </row>
    <row r="15">
      <c r="A15" t="inlineStr">
        <is>
          <t>FE diesel TTW (choix catégorie)</t>
        </is>
      </c>
      <c r="B15" s="4">
        <f>fe_lourd</f>
        <v/>
      </c>
      <c r="C15" t="inlineStr">
        <is>
          <t>kg CO2e/L</t>
        </is>
      </c>
    </row>
    <row r="17">
      <c r="A17" s="2" t="inlineStr">
        <is>
          <t>Valeurs dérivées (formules)</t>
        </is>
      </c>
    </row>
    <row r="18">
      <c r="A18" t="inlineStr">
        <is>
          <t>Prix réf avec taxes non récupérables</t>
        </is>
      </c>
      <c r="B18" s="4">
        <f>$B$6*(1+taux_taxes)</f>
        <v/>
      </c>
    </row>
    <row r="19">
      <c r="A19" t="inlineStr">
        <is>
          <t>Prix alt avec taxes non récupérables</t>
        </is>
      </c>
      <c r="B19" s="4">
        <f>$B$9*(1+taux_taxes)</f>
        <v/>
      </c>
    </row>
    <row r="20">
      <c r="A20" t="inlineStr">
        <is>
          <t>Infra avec taxes non récupérables</t>
        </is>
      </c>
      <c r="B20" s="4">
        <f>$B$14*(1+taux_taxes)</f>
        <v/>
      </c>
    </row>
    <row r="21">
      <c r="A21" t="inlineStr">
        <is>
          <t>Conso alt facturée (compteur ou pompe) /100 km</t>
        </is>
      </c>
      <c r="B21" s="4">
        <f>$B$10*fact_hiver</f>
        <v/>
      </c>
    </row>
    <row r="22">
      <c r="A22" t="inlineStr">
        <is>
          <t>VR réf fin d'horizon (avant taxes, nominale)</t>
        </is>
      </c>
      <c r="B22" s="4">
        <f>MAX($B$6*(1-d_diesel)^$B$4,plancher_vr*$B$6)</f>
        <v/>
      </c>
    </row>
    <row r="23">
      <c r="A23" t="inlineStr">
        <is>
          <t>VR alt fin d'horizon (avant taxes, nominale)</t>
        </is>
      </c>
      <c r="B23" s="4">
        <f>MAX($B$9*(1-d_fcev)^$B$4,plancher_vr*$B$9)</f>
        <v/>
      </c>
    </row>
    <row r="24">
      <c r="A24" t="inlineStr">
        <is>
          <t>VR infra fin d'horizon (linéaire sur 15 ans)</t>
        </is>
      </c>
      <c r="B24" s="4">
        <f>IF($B$14&gt;0,$B$14*(duree_vie_infra-$B$4)/duree_vie_infra,0)</f>
        <v/>
      </c>
    </row>
    <row r="27">
      <c r="A27" s="2" t="inlineStr">
        <is>
          <t>n</t>
        </is>
      </c>
      <c r="B27" s="2" t="inlineStr">
        <is>
          <t>Acquisition alt</t>
        </is>
      </c>
      <c r="C27" s="2" t="inlineStr">
        <is>
          <t>Subventions</t>
        </is>
      </c>
      <c r="D27" s="2" t="inlineStr">
        <is>
          <t>Énergie alt</t>
        </is>
      </c>
      <c r="E27" s="2" t="inlineStr">
        <is>
          <t>Entretien alt</t>
        </is>
      </c>
      <c r="F27" s="2" t="inlineStr">
        <is>
          <t>Opex infra</t>
        </is>
      </c>
      <c r="G27" s="2" t="inlineStr">
        <is>
          <t>Résiduels alt</t>
        </is>
      </c>
      <c r="H27" s="2" t="inlineStr">
        <is>
          <t>Flux net alt</t>
        </is>
      </c>
      <c r="I27" s="2" t="inlineStr">
        <is>
          <t>Acquisition réf</t>
        </is>
      </c>
      <c r="J27" s="2" t="inlineStr">
        <is>
          <t>Énergie réf</t>
        </is>
      </c>
      <c r="K27" s="2" t="inlineStr">
        <is>
          <t>Entretien réf</t>
        </is>
      </c>
      <c r="L27" s="2" t="inlineStr">
        <is>
          <t>Résiduels réf</t>
        </is>
      </c>
      <c r="M27" s="2" t="inlineStr">
        <is>
          <t>Flux net réf</t>
        </is>
      </c>
      <c r="N27" s="2" t="inlineStr">
        <is>
          <t>Économie nominale</t>
        </is>
      </c>
      <c r="O27" s="2" t="inlineStr">
        <is>
          <t>Facteur actualisation</t>
        </is>
      </c>
      <c r="P27" s="2" t="inlineStr">
        <is>
          <t>Flux act. alt</t>
        </is>
      </c>
      <c r="Q27" s="2" t="inlineStr">
        <is>
          <t>Flux act. réf</t>
        </is>
      </c>
      <c r="R27" s="2" t="inlineStr">
        <is>
          <t>Cumul économie nominale</t>
        </is>
      </c>
      <c r="S27" s="2" t="inlineStr">
        <is>
          <t>Cumul économie actualisée</t>
        </is>
      </c>
      <c r="T27" s="2" t="inlineStr">
        <is>
          <t>km actualisés</t>
        </is>
      </c>
      <c r="U27" s="2" t="inlineStr">
        <is>
          <t>n si cumul nominal &gt;= 0</t>
        </is>
      </c>
      <c r="V27" s="2" t="inlineStr">
        <is>
          <t>n si cumul actualisé &gt;= 0</t>
        </is>
      </c>
      <c r="W27" s="2" t="inlineStr">
        <is>
          <t>TTW réf (t)</t>
        </is>
      </c>
      <c r="X27" s="2" t="inlineStr">
        <is>
          <t>WTW réf (t)</t>
        </is>
      </c>
      <c r="Y27" s="2" t="inlineStr">
        <is>
          <t>WTW alt (t)</t>
        </is>
      </c>
    </row>
    <row r="28">
      <c r="A28" t="n">
        <v>0</v>
      </c>
      <c r="B28" s="5">
        <f>IF(A28=0,$B$19+$B$20,0)</f>
        <v/>
      </c>
      <c r="C28" s="5">
        <f>IF(A28=$B$13,$B$12,0)</f>
        <v/>
      </c>
      <c r="D28" s="5">
        <f>IF(A28=0,0,$B$5*$B$21/100*prix_h2*(1+g_h2)^A28)</f>
        <v/>
      </c>
      <c r="E28" s="5">
        <f>IF(A28=0,0,$B$5*$B$11*(1+g_entretien)^A28)</f>
        <v/>
      </c>
      <c r="F28" s="5">
        <f>IF(A28=0,0,infra_entretien_pct*$B$14*(1+g_entretien)^A28)</f>
        <v/>
      </c>
      <c r="G28" s="5">
        <f>IF(A28=$B$4,$B$23+$B$24,0)</f>
        <v/>
      </c>
      <c r="H28" s="5">
        <f>B28-C28+D28+E28+F28-G28</f>
        <v/>
      </c>
      <c r="I28" s="5">
        <f>IF(A28=0,$B$18,0)</f>
        <v/>
      </c>
      <c r="J28" s="5">
        <f>IF(A28=0,0,$B$5*$B$7/100*prix_diesel*(1+g_diesel)^A28)</f>
        <v/>
      </c>
      <c r="K28" s="5">
        <f>IF(A28=0,0,$B$5*$B$8*(1+g_entretien)^A28)</f>
        <v/>
      </c>
      <c r="L28" s="5">
        <f>IF(A28=$B$4,$B$22,0)</f>
        <v/>
      </c>
      <c r="M28" s="5">
        <f>I28+J28+K28-L28</f>
        <v/>
      </c>
      <c r="N28" s="5">
        <f>M28-H28</f>
        <v/>
      </c>
      <c r="O28" s="5">
        <f>1/(1+taux_r)^A28</f>
        <v/>
      </c>
      <c r="P28" s="5">
        <f>H28*O28</f>
        <v/>
      </c>
      <c r="Q28" s="5">
        <f>M28*O28</f>
        <v/>
      </c>
      <c r="R28" s="5">
        <f>N28</f>
        <v/>
      </c>
      <c r="S28" s="5">
        <f>N28*O28</f>
        <v/>
      </c>
      <c r="T28" s="5">
        <f>IF(A28=0,0,$B$5*O28)</f>
        <v/>
      </c>
      <c r="U28" s="6">
        <f>IF(R28&gt;=0,A28,"")</f>
        <v/>
      </c>
      <c r="V28" s="6">
        <f>IF(S28&gt;=0,A28,"")</f>
        <v/>
      </c>
      <c r="W28" s="6">
        <f>IF(A28=0,0,$B$5*$B$7/100*$B$15/1000)</f>
        <v/>
      </c>
      <c r="X28" s="6">
        <f>W28*ratio_wtw</f>
        <v/>
      </c>
      <c r="Y28" s="6">
        <f>IF(A28=0,0,$B$5*$B$21/100*fe_h2/1000)</f>
        <v/>
      </c>
    </row>
    <row r="29">
      <c r="A29">
        <f>A28+1</f>
        <v/>
      </c>
      <c r="B29" s="5">
        <f>IF(A29=0,$B$19+$B$20,0)</f>
        <v/>
      </c>
      <c r="C29" s="5">
        <f>IF(A29=$B$13,$B$12,0)</f>
        <v/>
      </c>
      <c r="D29" s="5">
        <f>IF(A29=0,0,$B$5*$B$21/100*prix_h2*(1+g_h2)^A29)</f>
        <v/>
      </c>
      <c r="E29" s="5">
        <f>IF(A29=0,0,$B$5*$B$11*(1+g_entretien)^A29)</f>
        <v/>
      </c>
      <c r="F29" s="5">
        <f>IF(A29=0,0,infra_entretien_pct*$B$14*(1+g_entretien)^A29)</f>
        <v/>
      </c>
      <c r="G29" s="5">
        <f>IF(A29=$B$4,$B$23+$B$24,0)</f>
        <v/>
      </c>
      <c r="H29" s="5">
        <f>B29-C29+D29+E29+F29-G29</f>
        <v/>
      </c>
      <c r="I29" s="5">
        <f>IF(A29=0,$B$18,0)</f>
        <v/>
      </c>
      <c r="J29" s="5">
        <f>IF(A29=0,0,$B$5*$B$7/100*prix_diesel*(1+g_diesel)^A29)</f>
        <v/>
      </c>
      <c r="K29" s="5">
        <f>IF(A29=0,0,$B$5*$B$8*(1+g_entretien)^A29)</f>
        <v/>
      </c>
      <c r="L29" s="5">
        <f>IF(A29=$B$4,$B$22,0)</f>
        <v/>
      </c>
      <c r="M29" s="5">
        <f>I29+J29+K29-L29</f>
        <v/>
      </c>
      <c r="N29" s="5">
        <f>M29-H29</f>
        <v/>
      </c>
      <c r="O29" s="5">
        <f>1/(1+taux_r)^A29</f>
        <v/>
      </c>
      <c r="P29" s="5">
        <f>H29*O29</f>
        <v/>
      </c>
      <c r="Q29" s="5">
        <f>M29*O29</f>
        <v/>
      </c>
      <c r="R29" s="5">
        <f>R28+N29</f>
        <v/>
      </c>
      <c r="S29" s="5">
        <f>S28+N29*O29</f>
        <v/>
      </c>
      <c r="T29" s="5">
        <f>IF(A29=0,0,$B$5*O29)</f>
        <v/>
      </c>
      <c r="U29" s="6">
        <f>IF(R29&gt;=0,A29,"")</f>
        <v/>
      </c>
      <c r="V29" s="6">
        <f>IF(S29&gt;=0,A29,"")</f>
        <v/>
      </c>
      <c r="W29" s="6">
        <f>IF(A29=0,0,$B$5*$B$7/100*$B$15/1000)</f>
        <v/>
      </c>
      <c r="X29" s="6">
        <f>W29*ratio_wtw</f>
        <v/>
      </c>
      <c r="Y29" s="6">
        <f>IF(A29=0,0,$B$5*$B$21/100*fe_h2/1000)</f>
        <v/>
      </c>
    </row>
    <row r="30">
      <c r="A30">
        <f>A29+1</f>
        <v/>
      </c>
      <c r="B30" s="5">
        <f>IF(A30=0,$B$19+$B$20,0)</f>
        <v/>
      </c>
      <c r="C30" s="5">
        <f>IF(A30=$B$13,$B$12,0)</f>
        <v/>
      </c>
      <c r="D30" s="5">
        <f>IF(A30=0,0,$B$5*$B$21/100*prix_h2*(1+g_h2)^A30)</f>
        <v/>
      </c>
      <c r="E30" s="5">
        <f>IF(A30=0,0,$B$5*$B$11*(1+g_entretien)^A30)</f>
        <v/>
      </c>
      <c r="F30" s="5">
        <f>IF(A30=0,0,infra_entretien_pct*$B$14*(1+g_entretien)^A30)</f>
        <v/>
      </c>
      <c r="G30" s="5">
        <f>IF(A30=$B$4,$B$23+$B$24,0)</f>
        <v/>
      </c>
      <c r="H30" s="5">
        <f>B30-C30+D30+E30+F30-G30</f>
        <v/>
      </c>
      <c r="I30" s="5">
        <f>IF(A30=0,$B$18,0)</f>
        <v/>
      </c>
      <c r="J30" s="5">
        <f>IF(A30=0,0,$B$5*$B$7/100*prix_diesel*(1+g_diesel)^A30)</f>
        <v/>
      </c>
      <c r="K30" s="5">
        <f>IF(A30=0,0,$B$5*$B$8*(1+g_entretien)^A30)</f>
        <v/>
      </c>
      <c r="L30" s="5">
        <f>IF(A30=$B$4,$B$22,0)</f>
        <v/>
      </c>
      <c r="M30" s="5">
        <f>I30+J30+K30-L30</f>
        <v/>
      </c>
      <c r="N30" s="5">
        <f>M30-H30</f>
        <v/>
      </c>
      <c r="O30" s="5">
        <f>1/(1+taux_r)^A30</f>
        <v/>
      </c>
      <c r="P30" s="5">
        <f>H30*O30</f>
        <v/>
      </c>
      <c r="Q30" s="5">
        <f>M30*O30</f>
        <v/>
      </c>
      <c r="R30" s="5">
        <f>R29+N30</f>
        <v/>
      </c>
      <c r="S30" s="5">
        <f>S29+N30*O30</f>
        <v/>
      </c>
      <c r="T30" s="5">
        <f>IF(A30=0,0,$B$5*O30)</f>
        <v/>
      </c>
      <c r="U30" s="6">
        <f>IF(R30&gt;=0,A30,"")</f>
        <v/>
      </c>
      <c r="V30" s="6">
        <f>IF(S30&gt;=0,A30,"")</f>
        <v/>
      </c>
      <c r="W30" s="6">
        <f>IF(A30=0,0,$B$5*$B$7/100*$B$15/1000)</f>
        <v/>
      </c>
      <c r="X30" s="6">
        <f>W30*ratio_wtw</f>
        <v/>
      </c>
      <c r="Y30" s="6">
        <f>IF(A30=0,0,$B$5*$B$21/100*fe_h2/1000)</f>
        <v/>
      </c>
    </row>
    <row r="31">
      <c r="A31">
        <f>A30+1</f>
        <v/>
      </c>
      <c r="B31" s="5">
        <f>IF(A31=0,$B$19+$B$20,0)</f>
        <v/>
      </c>
      <c r="C31" s="5">
        <f>IF(A31=$B$13,$B$12,0)</f>
        <v/>
      </c>
      <c r="D31" s="5">
        <f>IF(A31=0,0,$B$5*$B$21/100*prix_h2*(1+g_h2)^A31)</f>
        <v/>
      </c>
      <c r="E31" s="5">
        <f>IF(A31=0,0,$B$5*$B$11*(1+g_entretien)^A31)</f>
        <v/>
      </c>
      <c r="F31" s="5">
        <f>IF(A31=0,0,infra_entretien_pct*$B$14*(1+g_entretien)^A31)</f>
        <v/>
      </c>
      <c r="G31" s="5">
        <f>IF(A31=$B$4,$B$23+$B$24,0)</f>
        <v/>
      </c>
      <c r="H31" s="5">
        <f>B31-C31+D31+E31+F31-G31</f>
        <v/>
      </c>
      <c r="I31" s="5">
        <f>IF(A31=0,$B$18,0)</f>
        <v/>
      </c>
      <c r="J31" s="5">
        <f>IF(A31=0,0,$B$5*$B$7/100*prix_diesel*(1+g_diesel)^A31)</f>
        <v/>
      </c>
      <c r="K31" s="5">
        <f>IF(A31=0,0,$B$5*$B$8*(1+g_entretien)^A31)</f>
        <v/>
      </c>
      <c r="L31" s="5">
        <f>IF(A31=$B$4,$B$22,0)</f>
        <v/>
      </c>
      <c r="M31" s="5">
        <f>I31+J31+K31-L31</f>
        <v/>
      </c>
      <c r="N31" s="5">
        <f>M31-H31</f>
        <v/>
      </c>
      <c r="O31" s="5">
        <f>1/(1+taux_r)^A31</f>
        <v/>
      </c>
      <c r="P31" s="5">
        <f>H31*O31</f>
        <v/>
      </c>
      <c r="Q31" s="5">
        <f>M31*O31</f>
        <v/>
      </c>
      <c r="R31" s="5">
        <f>R30+N31</f>
        <v/>
      </c>
      <c r="S31" s="5">
        <f>S30+N31*O31</f>
        <v/>
      </c>
      <c r="T31" s="5">
        <f>IF(A31=0,0,$B$5*O31)</f>
        <v/>
      </c>
      <c r="U31" s="6">
        <f>IF(R31&gt;=0,A31,"")</f>
        <v/>
      </c>
      <c r="V31" s="6">
        <f>IF(S31&gt;=0,A31,"")</f>
        <v/>
      </c>
      <c r="W31" s="6">
        <f>IF(A31=0,0,$B$5*$B$7/100*$B$15/1000)</f>
        <v/>
      </c>
      <c r="X31" s="6">
        <f>W31*ratio_wtw</f>
        <v/>
      </c>
      <c r="Y31" s="6">
        <f>IF(A31=0,0,$B$5*$B$21/100*fe_h2/1000)</f>
        <v/>
      </c>
    </row>
    <row r="32">
      <c r="A32">
        <f>A31+1</f>
        <v/>
      </c>
      <c r="B32" s="5">
        <f>IF(A32=0,$B$19+$B$20,0)</f>
        <v/>
      </c>
      <c r="C32" s="5">
        <f>IF(A32=$B$13,$B$12,0)</f>
        <v/>
      </c>
      <c r="D32" s="5">
        <f>IF(A32=0,0,$B$5*$B$21/100*prix_h2*(1+g_h2)^A32)</f>
        <v/>
      </c>
      <c r="E32" s="5">
        <f>IF(A32=0,0,$B$5*$B$11*(1+g_entretien)^A32)</f>
        <v/>
      </c>
      <c r="F32" s="5">
        <f>IF(A32=0,0,infra_entretien_pct*$B$14*(1+g_entretien)^A32)</f>
        <v/>
      </c>
      <c r="G32" s="5">
        <f>IF(A32=$B$4,$B$23+$B$24,0)</f>
        <v/>
      </c>
      <c r="H32" s="5">
        <f>B32-C32+D32+E32+F32-G32</f>
        <v/>
      </c>
      <c r="I32" s="5">
        <f>IF(A32=0,$B$18,0)</f>
        <v/>
      </c>
      <c r="J32" s="5">
        <f>IF(A32=0,0,$B$5*$B$7/100*prix_diesel*(1+g_diesel)^A32)</f>
        <v/>
      </c>
      <c r="K32" s="5">
        <f>IF(A32=0,0,$B$5*$B$8*(1+g_entretien)^A32)</f>
        <v/>
      </c>
      <c r="L32" s="5">
        <f>IF(A32=$B$4,$B$22,0)</f>
        <v/>
      </c>
      <c r="M32" s="5">
        <f>I32+J32+K32-L32</f>
        <v/>
      </c>
      <c r="N32" s="5">
        <f>M32-H32</f>
        <v/>
      </c>
      <c r="O32" s="5">
        <f>1/(1+taux_r)^A32</f>
        <v/>
      </c>
      <c r="P32" s="5">
        <f>H32*O32</f>
        <v/>
      </c>
      <c r="Q32" s="5">
        <f>M32*O32</f>
        <v/>
      </c>
      <c r="R32" s="5">
        <f>R31+N32</f>
        <v/>
      </c>
      <c r="S32" s="5">
        <f>S31+N32*O32</f>
        <v/>
      </c>
      <c r="T32" s="5">
        <f>IF(A32=0,0,$B$5*O32)</f>
        <v/>
      </c>
      <c r="U32" s="6">
        <f>IF(R32&gt;=0,A32,"")</f>
        <v/>
      </c>
      <c r="V32" s="6">
        <f>IF(S32&gt;=0,A32,"")</f>
        <v/>
      </c>
      <c r="W32" s="6">
        <f>IF(A32=0,0,$B$5*$B$7/100*$B$15/1000)</f>
        <v/>
      </c>
      <c r="X32" s="6">
        <f>W32*ratio_wtw</f>
        <v/>
      </c>
      <c r="Y32" s="6">
        <f>IF(A32=0,0,$B$5*$B$21/100*fe_h2/1000)</f>
        <v/>
      </c>
    </row>
    <row r="33">
      <c r="A33">
        <f>A32+1</f>
        <v/>
      </c>
      <c r="B33" s="5">
        <f>IF(A33=0,$B$19+$B$20,0)</f>
        <v/>
      </c>
      <c r="C33" s="5">
        <f>IF(A33=$B$13,$B$12,0)</f>
        <v/>
      </c>
      <c r="D33" s="5">
        <f>IF(A33=0,0,$B$5*$B$21/100*prix_h2*(1+g_h2)^A33)</f>
        <v/>
      </c>
      <c r="E33" s="5">
        <f>IF(A33=0,0,$B$5*$B$11*(1+g_entretien)^A33)</f>
        <v/>
      </c>
      <c r="F33" s="5">
        <f>IF(A33=0,0,infra_entretien_pct*$B$14*(1+g_entretien)^A33)</f>
        <v/>
      </c>
      <c r="G33" s="5">
        <f>IF(A33=$B$4,$B$23+$B$24,0)</f>
        <v/>
      </c>
      <c r="H33" s="5">
        <f>B33-C33+D33+E33+F33-G33</f>
        <v/>
      </c>
      <c r="I33" s="5">
        <f>IF(A33=0,$B$18,0)</f>
        <v/>
      </c>
      <c r="J33" s="5">
        <f>IF(A33=0,0,$B$5*$B$7/100*prix_diesel*(1+g_diesel)^A33)</f>
        <v/>
      </c>
      <c r="K33" s="5">
        <f>IF(A33=0,0,$B$5*$B$8*(1+g_entretien)^A33)</f>
        <v/>
      </c>
      <c r="L33" s="5">
        <f>IF(A33=$B$4,$B$22,0)</f>
        <v/>
      </c>
      <c r="M33" s="5">
        <f>I33+J33+K33-L33</f>
        <v/>
      </c>
      <c r="N33" s="5">
        <f>M33-H33</f>
        <v/>
      </c>
      <c r="O33" s="5">
        <f>1/(1+taux_r)^A33</f>
        <v/>
      </c>
      <c r="P33" s="5">
        <f>H33*O33</f>
        <v/>
      </c>
      <c r="Q33" s="5">
        <f>M33*O33</f>
        <v/>
      </c>
      <c r="R33" s="5">
        <f>R32+N33</f>
        <v/>
      </c>
      <c r="S33" s="5">
        <f>S32+N33*O33</f>
        <v/>
      </c>
      <c r="T33" s="5">
        <f>IF(A33=0,0,$B$5*O33)</f>
        <v/>
      </c>
      <c r="U33" s="6">
        <f>IF(R33&gt;=0,A33,"")</f>
        <v/>
      </c>
      <c r="V33" s="6">
        <f>IF(S33&gt;=0,A33,"")</f>
        <v/>
      </c>
      <c r="W33" s="6">
        <f>IF(A33=0,0,$B$5*$B$7/100*$B$15/1000)</f>
        <v/>
      </c>
      <c r="X33" s="6">
        <f>W33*ratio_wtw</f>
        <v/>
      </c>
      <c r="Y33" s="6">
        <f>IF(A33=0,0,$B$5*$B$21/100*fe_h2/1000)</f>
        <v/>
      </c>
    </row>
    <row r="34">
      <c r="A34">
        <f>A33+1</f>
        <v/>
      </c>
      <c r="B34" s="5">
        <f>IF(A34=0,$B$19+$B$20,0)</f>
        <v/>
      </c>
      <c r="C34" s="5">
        <f>IF(A34=$B$13,$B$12,0)</f>
        <v/>
      </c>
      <c r="D34" s="5">
        <f>IF(A34=0,0,$B$5*$B$21/100*prix_h2*(1+g_h2)^A34)</f>
        <v/>
      </c>
      <c r="E34" s="5">
        <f>IF(A34=0,0,$B$5*$B$11*(1+g_entretien)^A34)</f>
        <v/>
      </c>
      <c r="F34" s="5">
        <f>IF(A34=0,0,infra_entretien_pct*$B$14*(1+g_entretien)^A34)</f>
        <v/>
      </c>
      <c r="G34" s="5">
        <f>IF(A34=$B$4,$B$23+$B$24,0)</f>
        <v/>
      </c>
      <c r="H34" s="5">
        <f>B34-C34+D34+E34+F34-G34</f>
        <v/>
      </c>
      <c r="I34" s="5">
        <f>IF(A34=0,$B$18,0)</f>
        <v/>
      </c>
      <c r="J34" s="5">
        <f>IF(A34=0,0,$B$5*$B$7/100*prix_diesel*(1+g_diesel)^A34)</f>
        <v/>
      </c>
      <c r="K34" s="5">
        <f>IF(A34=0,0,$B$5*$B$8*(1+g_entretien)^A34)</f>
        <v/>
      </c>
      <c r="L34" s="5">
        <f>IF(A34=$B$4,$B$22,0)</f>
        <v/>
      </c>
      <c r="M34" s="5">
        <f>I34+J34+K34-L34</f>
        <v/>
      </c>
      <c r="N34" s="5">
        <f>M34-H34</f>
        <v/>
      </c>
      <c r="O34" s="5">
        <f>1/(1+taux_r)^A34</f>
        <v/>
      </c>
      <c r="P34" s="5">
        <f>H34*O34</f>
        <v/>
      </c>
      <c r="Q34" s="5">
        <f>M34*O34</f>
        <v/>
      </c>
      <c r="R34" s="5">
        <f>R33+N34</f>
        <v/>
      </c>
      <c r="S34" s="5">
        <f>S33+N34*O34</f>
        <v/>
      </c>
      <c r="T34" s="5">
        <f>IF(A34=0,0,$B$5*O34)</f>
        <v/>
      </c>
      <c r="U34" s="6">
        <f>IF(R34&gt;=0,A34,"")</f>
        <v/>
      </c>
      <c r="V34" s="6">
        <f>IF(S34&gt;=0,A34,"")</f>
        <v/>
      </c>
      <c r="W34" s="6">
        <f>IF(A34=0,0,$B$5*$B$7/100*$B$15/1000)</f>
        <v/>
      </c>
      <c r="X34" s="6">
        <f>W34*ratio_wtw</f>
        <v/>
      </c>
      <c r="Y34" s="6">
        <f>IF(A34=0,0,$B$5*$B$21/100*fe_h2/1000)</f>
        <v/>
      </c>
    </row>
    <row r="35">
      <c r="A35">
        <f>A34+1</f>
        <v/>
      </c>
      <c r="B35" s="5">
        <f>IF(A35=0,$B$19+$B$20,0)</f>
        <v/>
      </c>
      <c r="C35" s="5">
        <f>IF(A35=$B$13,$B$12,0)</f>
        <v/>
      </c>
      <c r="D35" s="5">
        <f>IF(A35=0,0,$B$5*$B$21/100*prix_h2*(1+g_h2)^A35)</f>
        <v/>
      </c>
      <c r="E35" s="5">
        <f>IF(A35=0,0,$B$5*$B$11*(1+g_entretien)^A35)</f>
        <v/>
      </c>
      <c r="F35" s="5">
        <f>IF(A35=0,0,infra_entretien_pct*$B$14*(1+g_entretien)^A35)</f>
        <v/>
      </c>
      <c r="G35" s="5">
        <f>IF(A35=$B$4,$B$23+$B$24,0)</f>
        <v/>
      </c>
      <c r="H35" s="5">
        <f>B35-C35+D35+E35+F35-G35</f>
        <v/>
      </c>
      <c r="I35" s="5">
        <f>IF(A35=0,$B$18,0)</f>
        <v/>
      </c>
      <c r="J35" s="5">
        <f>IF(A35=0,0,$B$5*$B$7/100*prix_diesel*(1+g_diesel)^A35)</f>
        <v/>
      </c>
      <c r="K35" s="5">
        <f>IF(A35=0,0,$B$5*$B$8*(1+g_entretien)^A35)</f>
        <v/>
      </c>
      <c r="L35" s="5">
        <f>IF(A35=$B$4,$B$22,0)</f>
        <v/>
      </c>
      <c r="M35" s="5">
        <f>I35+J35+K35-L35</f>
        <v/>
      </c>
      <c r="N35" s="5">
        <f>M35-H35</f>
        <v/>
      </c>
      <c r="O35" s="5">
        <f>1/(1+taux_r)^A35</f>
        <v/>
      </c>
      <c r="P35" s="5">
        <f>H35*O35</f>
        <v/>
      </c>
      <c r="Q35" s="5">
        <f>M35*O35</f>
        <v/>
      </c>
      <c r="R35" s="5">
        <f>R34+N35</f>
        <v/>
      </c>
      <c r="S35" s="5">
        <f>S34+N35*O35</f>
        <v/>
      </c>
      <c r="T35" s="5">
        <f>IF(A35=0,0,$B$5*O35)</f>
        <v/>
      </c>
      <c r="U35" s="6">
        <f>IF(R35&gt;=0,A35,"")</f>
        <v/>
      </c>
      <c r="V35" s="6">
        <f>IF(S35&gt;=0,A35,"")</f>
        <v/>
      </c>
      <c r="W35" s="6">
        <f>IF(A35=0,0,$B$5*$B$7/100*$B$15/1000)</f>
        <v/>
      </c>
      <c r="X35" s="6">
        <f>W35*ratio_wtw</f>
        <v/>
      </c>
      <c r="Y35" s="6">
        <f>IF(A35=0,0,$B$5*$B$21/100*fe_h2/1000)</f>
        <v/>
      </c>
    </row>
    <row r="36">
      <c r="A36">
        <f>A35+1</f>
        <v/>
      </c>
      <c r="B36" s="5">
        <f>IF(A36=0,$B$19+$B$20,0)</f>
        <v/>
      </c>
      <c r="C36" s="5">
        <f>IF(A36=$B$13,$B$12,0)</f>
        <v/>
      </c>
      <c r="D36" s="5">
        <f>IF(A36=0,0,$B$5*$B$21/100*prix_h2*(1+g_h2)^A36)</f>
        <v/>
      </c>
      <c r="E36" s="5">
        <f>IF(A36=0,0,$B$5*$B$11*(1+g_entretien)^A36)</f>
        <v/>
      </c>
      <c r="F36" s="5">
        <f>IF(A36=0,0,infra_entretien_pct*$B$14*(1+g_entretien)^A36)</f>
        <v/>
      </c>
      <c r="G36" s="5">
        <f>IF(A36=$B$4,$B$23+$B$24,0)</f>
        <v/>
      </c>
      <c r="H36" s="5">
        <f>B36-C36+D36+E36+F36-G36</f>
        <v/>
      </c>
      <c r="I36" s="5">
        <f>IF(A36=0,$B$18,0)</f>
        <v/>
      </c>
      <c r="J36" s="5">
        <f>IF(A36=0,0,$B$5*$B$7/100*prix_diesel*(1+g_diesel)^A36)</f>
        <v/>
      </c>
      <c r="K36" s="5">
        <f>IF(A36=0,0,$B$5*$B$8*(1+g_entretien)^A36)</f>
        <v/>
      </c>
      <c r="L36" s="5">
        <f>IF(A36=$B$4,$B$22,0)</f>
        <v/>
      </c>
      <c r="M36" s="5">
        <f>I36+J36+K36-L36</f>
        <v/>
      </c>
      <c r="N36" s="5">
        <f>M36-H36</f>
        <v/>
      </c>
      <c r="O36" s="5">
        <f>1/(1+taux_r)^A36</f>
        <v/>
      </c>
      <c r="P36" s="5">
        <f>H36*O36</f>
        <v/>
      </c>
      <c r="Q36" s="5">
        <f>M36*O36</f>
        <v/>
      </c>
      <c r="R36" s="5">
        <f>R35+N36</f>
        <v/>
      </c>
      <c r="S36" s="5">
        <f>S35+N36*O36</f>
        <v/>
      </c>
      <c r="T36" s="5">
        <f>IF(A36=0,0,$B$5*O36)</f>
        <v/>
      </c>
      <c r="U36" s="6">
        <f>IF(R36&gt;=0,A36,"")</f>
        <v/>
      </c>
      <c r="V36" s="6">
        <f>IF(S36&gt;=0,A36,"")</f>
        <v/>
      </c>
      <c r="W36" s="6">
        <f>IF(A36=0,0,$B$5*$B$7/100*$B$15/1000)</f>
        <v/>
      </c>
      <c r="X36" s="6">
        <f>W36*ratio_wtw</f>
        <v/>
      </c>
      <c r="Y36" s="6">
        <f>IF(A36=0,0,$B$5*$B$21/100*fe_h2/1000)</f>
        <v/>
      </c>
    </row>
    <row r="37">
      <c r="A37">
        <f>A36+1</f>
        <v/>
      </c>
      <c r="B37" s="5">
        <f>IF(A37=0,$B$19+$B$20,0)</f>
        <v/>
      </c>
      <c r="C37" s="5">
        <f>IF(A37=$B$13,$B$12,0)</f>
        <v/>
      </c>
      <c r="D37" s="5">
        <f>IF(A37=0,0,$B$5*$B$21/100*prix_h2*(1+g_h2)^A37)</f>
        <v/>
      </c>
      <c r="E37" s="5">
        <f>IF(A37=0,0,$B$5*$B$11*(1+g_entretien)^A37)</f>
        <v/>
      </c>
      <c r="F37" s="5">
        <f>IF(A37=0,0,infra_entretien_pct*$B$14*(1+g_entretien)^A37)</f>
        <v/>
      </c>
      <c r="G37" s="5">
        <f>IF(A37=$B$4,$B$23+$B$24,0)</f>
        <v/>
      </c>
      <c r="H37" s="5">
        <f>B37-C37+D37+E37+F37-G37</f>
        <v/>
      </c>
      <c r="I37" s="5">
        <f>IF(A37=0,$B$18,0)</f>
        <v/>
      </c>
      <c r="J37" s="5">
        <f>IF(A37=0,0,$B$5*$B$7/100*prix_diesel*(1+g_diesel)^A37)</f>
        <v/>
      </c>
      <c r="K37" s="5">
        <f>IF(A37=0,0,$B$5*$B$8*(1+g_entretien)^A37)</f>
        <v/>
      </c>
      <c r="L37" s="5">
        <f>IF(A37=$B$4,$B$22,0)</f>
        <v/>
      </c>
      <c r="M37" s="5">
        <f>I37+J37+K37-L37</f>
        <v/>
      </c>
      <c r="N37" s="5">
        <f>M37-H37</f>
        <v/>
      </c>
      <c r="O37" s="5">
        <f>1/(1+taux_r)^A37</f>
        <v/>
      </c>
      <c r="P37" s="5">
        <f>H37*O37</f>
        <v/>
      </c>
      <c r="Q37" s="5">
        <f>M37*O37</f>
        <v/>
      </c>
      <c r="R37" s="5">
        <f>R36+N37</f>
        <v/>
      </c>
      <c r="S37" s="5">
        <f>S36+N37*O37</f>
        <v/>
      </c>
      <c r="T37" s="5">
        <f>IF(A37=0,0,$B$5*O37)</f>
        <v/>
      </c>
      <c r="U37" s="6">
        <f>IF(R37&gt;=0,A37,"")</f>
        <v/>
      </c>
      <c r="V37" s="6">
        <f>IF(S37&gt;=0,A37,"")</f>
        <v/>
      </c>
      <c r="W37" s="6">
        <f>IF(A37=0,0,$B$5*$B$7/100*$B$15/1000)</f>
        <v/>
      </c>
      <c r="X37" s="6">
        <f>W37*ratio_wtw</f>
        <v/>
      </c>
      <c r="Y37" s="6">
        <f>IF(A37=0,0,$B$5*$B$21/100*fe_h2/1000)</f>
        <v/>
      </c>
    </row>
    <row r="38">
      <c r="A38">
        <f>A37+1</f>
        <v/>
      </c>
      <c r="B38" s="5">
        <f>IF(A38=0,$B$19+$B$20,0)</f>
        <v/>
      </c>
      <c r="C38" s="5">
        <f>IF(A38=$B$13,$B$12,0)</f>
        <v/>
      </c>
      <c r="D38" s="5">
        <f>IF(A38=0,0,$B$5*$B$21/100*prix_h2*(1+g_h2)^A38)</f>
        <v/>
      </c>
      <c r="E38" s="5">
        <f>IF(A38=0,0,$B$5*$B$11*(1+g_entretien)^A38)</f>
        <v/>
      </c>
      <c r="F38" s="5">
        <f>IF(A38=0,0,infra_entretien_pct*$B$14*(1+g_entretien)^A38)</f>
        <v/>
      </c>
      <c r="G38" s="5">
        <f>IF(A38=$B$4,$B$23+$B$24,0)</f>
        <v/>
      </c>
      <c r="H38" s="5">
        <f>B38-C38+D38+E38+F38-G38</f>
        <v/>
      </c>
      <c r="I38" s="5">
        <f>IF(A38=0,$B$18,0)</f>
        <v/>
      </c>
      <c r="J38" s="5">
        <f>IF(A38=0,0,$B$5*$B$7/100*prix_diesel*(1+g_diesel)^A38)</f>
        <v/>
      </c>
      <c r="K38" s="5">
        <f>IF(A38=0,0,$B$5*$B$8*(1+g_entretien)^A38)</f>
        <v/>
      </c>
      <c r="L38" s="5">
        <f>IF(A38=$B$4,$B$22,0)</f>
        <v/>
      </c>
      <c r="M38" s="5">
        <f>I38+J38+K38-L38</f>
        <v/>
      </c>
      <c r="N38" s="5">
        <f>M38-H38</f>
        <v/>
      </c>
      <c r="O38" s="5">
        <f>1/(1+taux_r)^A38</f>
        <v/>
      </c>
      <c r="P38" s="5">
        <f>H38*O38</f>
        <v/>
      </c>
      <c r="Q38" s="5">
        <f>M38*O38</f>
        <v/>
      </c>
      <c r="R38" s="5">
        <f>R37+N38</f>
        <v/>
      </c>
      <c r="S38" s="5">
        <f>S37+N38*O38</f>
        <v/>
      </c>
      <c r="T38" s="5">
        <f>IF(A38=0,0,$B$5*O38)</f>
        <v/>
      </c>
      <c r="U38" s="6">
        <f>IF(R38&gt;=0,A38,"")</f>
        <v/>
      </c>
      <c r="V38" s="6">
        <f>IF(S38&gt;=0,A38,"")</f>
        <v/>
      </c>
      <c r="W38" s="6">
        <f>IF(A38=0,0,$B$5*$B$7/100*$B$15/1000)</f>
        <v/>
      </c>
      <c r="X38" s="6">
        <f>W38*ratio_wtw</f>
        <v/>
      </c>
      <c r="Y38" s="6">
        <f>IF(A38=0,0,$B$5*$B$21/100*fe_h2/1000)</f>
        <v/>
      </c>
    </row>
    <row r="40">
      <c r="A40" s="2" t="inlineStr">
        <is>
          <t>Résultats (formules)</t>
        </is>
      </c>
    </row>
    <row r="41">
      <c r="A41" s="2" t="inlineStr">
        <is>
          <t>TCO actualisé — alternative ($)</t>
        </is>
      </c>
      <c r="B41" s="4">
        <f>SUM(P28:P38)</f>
        <v/>
      </c>
    </row>
    <row r="42">
      <c r="A42" s="2" t="inlineStr">
        <is>
          <t>TCO actualisé — référence ($)</t>
        </is>
      </c>
      <c r="B42" s="4">
        <f>SUM(Q28:Q38)</f>
        <v/>
      </c>
    </row>
    <row r="43">
      <c r="A43" s="2" t="inlineStr">
        <is>
          <t>VAN différentielle réf − alt ($)</t>
        </is>
      </c>
      <c r="B43" s="4">
        <f>B42-B41</f>
        <v/>
      </c>
    </row>
    <row r="44">
      <c r="A44" s="2" t="inlineStr">
        <is>
          <t>km actualisés</t>
        </is>
      </c>
      <c r="B44" s="4">
        <f>SUM(T28:T38)</f>
        <v/>
      </c>
    </row>
    <row r="45">
      <c r="A45" s="2" t="inlineStr">
        <is>
          <t>TCO/km actualisé — alternative ($/km)</t>
        </is>
      </c>
      <c r="B45" s="4">
        <f>B41/B44</f>
        <v/>
      </c>
    </row>
    <row r="46">
      <c r="A46" s="2" t="inlineStr">
        <is>
          <t>TCO/km actualisé — référence ($/km)</t>
        </is>
      </c>
      <c r="B46" s="4">
        <f>B42/B44</f>
        <v/>
      </c>
    </row>
    <row r="47">
      <c r="A47" s="2" t="inlineStr">
        <is>
          <t>Délai de récupération simple (années)</t>
        </is>
      </c>
      <c r="B47" s="4">
        <f>IF(COUNT(U28:U38)=0,"null : jamais atteint sur l'horizon",MIN(U28:U38))</f>
        <v/>
      </c>
    </row>
    <row r="48">
      <c r="A48" s="2" t="inlineStr">
        <is>
          <t>Délai de récupération actualisé (années)</t>
        </is>
      </c>
      <c r="B48" s="4">
        <f>IF(COUNT(V28:V38)=0,"null : jamais atteint sur l'horizon",MIN(V28:V38))</f>
        <v/>
      </c>
    </row>
    <row r="49">
      <c r="A49" s="2" t="inlineStr">
        <is>
          <t>CO2e évité cumulé TTW (t)</t>
        </is>
      </c>
      <c r="B49" s="4">
        <f>SUM(W28:W38)</f>
        <v/>
      </c>
    </row>
    <row r="50">
      <c r="A50" s="2" t="inlineStr">
        <is>
          <t>CO2e évité cumulé WTW (t)</t>
        </is>
      </c>
      <c r="B50" s="4">
        <f>SUM(X28:X38)-SUM(Y28:Y38)</f>
        <v/>
      </c>
    </row>
    <row r="51">
      <c r="A51" s="2" t="inlineStr">
        <is>
          <t>Coût (+) ou gain (−) par tonne WTW évitée ($/t)</t>
        </is>
      </c>
      <c r="B51" s="4">
        <f>(B41-B42)/B50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Cas 6 — Mini-plan 5 véhicules (horizon 12 ans, infra partagée, re-remplacement an 10)</t>
        </is>
      </c>
    </row>
    <row r="3">
      <c r="A3" s="2" t="inlineStr">
        <is>
          <t>Entrées du cas (constantes)</t>
        </is>
      </c>
    </row>
    <row r="4">
      <c r="A4" t="inlineStr">
        <is>
          <t>Horizon H</t>
        </is>
      </c>
      <c r="B4" s="3" t="n">
        <v>12</v>
      </c>
      <c r="C4" t="inlineStr">
        <is>
          <t>ans</t>
        </is>
      </c>
    </row>
    <row r="5">
      <c r="A5" s="2" t="inlineStr">
        <is>
          <t>Véhicules légers BEV (paramètres du cas 4)</t>
        </is>
      </c>
    </row>
    <row r="6">
      <c r="A6" t="inlineStr">
        <is>
          <t>Nombre</t>
        </is>
      </c>
      <c r="B6" s="3" t="n">
        <v>2</v>
      </c>
    </row>
    <row r="7">
      <c r="A7" t="inlineStr">
        <is>
          <t>km/an (par véhicule)</t>
        </is>
      </c>
      <c r="B7" s="3" t="n">
        <v>25000</v>
      </c>
    </row>
    <row r="8">
      <c r="A8" t="inlineStr">
        <is>
          <t>Prix réf avant taxes</t>
        </is>
      </c>
      <c r="B8" s="3" t="n">
        <v>45000</v>
      </c>
      <c r="C8" t="inlineStr">
        <is>
          <t>$</t>
        </is>
      </c>
    </row>
    <row r="9">
      <c r="A9" t="inlineStr">
        <is>
          <t>Conso réf</t>
        </is>
      </c>
      <c r="B9" s="3" t="n">
        <v>9</v>
      </c>
      <c r="C9" t="inlineStr">
        <is>
          <t>L/100 km</t>
        </is>
      </c>
    </row>
    <row r="10">
      <c r="A10" t="inlineStr">
        <is>
          <t>Entretien réf</t>
        </is>
      </c>
      <c r="B10" s="3" t="n">
        <v>0.1</v>
      </c>
      <c r="C10" t="inlineStr">
        <is>
          <t>$/km</t>
        </is>
      </c>
    </row>
    <row r="11">
      <c r="A11" t="inlineStr">
        <is>
          <t>Prix alt avant taxes</t>
        </is>
      </c>
      <c r="B11" s="3" t="n">
        <v>49500</v>
      </c>
      <c r="C11" t="inlineStr">
        <is>
          <t>$</t>
        </is>
      </c>
    </row>
    <row r="12">
      <c r="A12" t="inlineStr">
        <is>
          <t>Conso alt</t>
        </is>
      </c>
      <c r="B12" s="3" t="n">
        <v>20</v>
      </c>
      <c r="C12" t="inlineStr">
        <is>
          <t>kWh/100 km</t>
        </is>
      </c>
    </row>
    <row r="13">
      <c r="A13" t="inlineStr">
        <is>
          <t>Entretien alt</t>
        </is>
      </c>
      <c r="B13" s="3" t="n">
        <v>0.07000000000000001</v>
      </c>
      <c r="C13" t="inlineStr">
        <is>
          <t>$/km</t>
        </is>
      </c>
    </row>
    <row r="14">
      <c r="A14" t="inlineStr">
        <is>
          <t>Subventions an 0 par véhicule (PAVÉ 5 000 + RV 2 000)</t>
        </is>
      </c>
      <c r="B14" s="3" t="n">
        <v>7000</v>
      </c>
      <c r="C14" t="inlineStr">
        <is>
          <t>$</t>
        </is>
      </c>
    </row>
    <row r="15">
      <c r="A15" t="inlineStr">
        <is>
          <t>Année de re-remplacement (fin de vie 10 ans)</t>
        </is>
      </c>
      <c r="B15" s="3" t="n">
        <v>10</v>
      </c>
    </row>
    <row r="17">
      <c r="A17" s="2" t="inlineStr">
        <is>
          <t>Camionnette BEV (paramètres du cas 1, durée de vie 12 ans ici)</t>
        </is>
      </c>
    </row>
    <row r="18">
      <c r="A18" t="inlineStr">
        <is>
          <t>km/an</t>
        </is>
      </c>
      <c r="B18" s="3" t="n">
        <v>30000</v>
      </c>
    </row>
    <row r="19">
      <c r="A19" t="inlineStr">
        <is>
          <t>Prix réf avant taxes</t>
        </is>
      </c>
      <c r="B19" s="3" t="n">
        <v>68000</v>
      </c>
      <c r="C19" t="inlineStr">
        <is>
          <t>$</t>
        </is>
      </c>
    </row>
    <row r="20">
      <c r="A20" t="inlineStr">
        <is>
          <t>Conso réf</t>
        </is>
      </c>
      <c r="B20" s="3" t="n">
        <v>15</v>
      </c>
      <c r="C20" t="inlineStr">
        <is>
          <t>L/100 km</t>
        </is>
      </c>
    </row>
    <row r="21">
      <c r="A21" t="inlineStr">
        <is>
          <t>Entretien réf</t>
        </is>
      </c>
      <c r="B21" s="3" t="n">
        <v>0.14</v>
      </c>
      <c r="C21" t="inlineStr">
        <is>
          <t>$/km</t>
        </is>
      </c>
    </row>
    <row r="22">
      <c r="A22" t="inlineStr">
        <is>
          <t>Prix alt avant taxes</t>
        </is>
      </c>
      <c r="B22" s="3" t="n">
        <v>95000</v>
      </c>
      <c r="C22" t="inlineStr">
        <is>
          <t>$</t>
        </is>
      </c>
    </row>
    <row r="23">
      <c r="A23" t="inlineStr">
        <is>
          <t>Conso alt</t>
        </is>
      </c>
      <c r="B23" s="3" t="n">
        <v>32</v>
      </c>
      <c r="C23" t="inlineStr">
        <is>
          <t>kWh/100 km</t>
        </is>
      </c>
    </row>
    <row r="24">
      <c r="A24" t="inlineStr">
        <is>
          <t>Entretien alt</t>
        </is>
      </c>
      <c r="B24" s="3" t="n">
        <v>0.1</v>
      </c>
      <c r="C24" t="inlineStr">
        <is>
          <t>$/km</t>
        </is>
      </c>
    </row>
    <row r="25">
      <c r="A25" t="inlineStr">
        <is>
          <t>Subvention (Écocamionnage 2b)</t>
        </is>
      </c>
      <c r="B25" s="3" t="n">
        <v>2500</v>
      </c>
      <c r="C25" t="inlineStr">
        <is>
          <t>$</t>
        </is>
      </c>
    </row>
    <row r="26">
      <c r="A26" t="inlineStr">
        <is>
          <t>Année de versement</t>
        </is>
      </c>
      <c r="B26" s="3" t="n">
        <v>1</v>
      </c>
    </row>
    <row r="28">
      <c r="A28" s="2" t="inlineStr">
        <is>
          <t>Camions moyens BEV classe 6</t>
        </is>
      </c>
    </row>
    <row r="29">
      <c r="A29" t="inlineStr">
        <is>
          <t>Nombre</t>
        </is>
      </c>
      <c r="B29" s="3" t="n">
        <v>2</v>
      </c>
    </row>
    <row r="30">
      <c r="A30" t="inlineStr">
        <is>
          <t>km/an (par véhicule)</t>
        </is>
      </c>
      <c r="B30" s="3" t="n">
        <v>35000</v>
      </c>
    </row>
    <row r="31">
      <c r="A31" t="inlineStr">
        <is>
          <t>Prix réf avant taxes</t>
        </is>
      </c>
      <c r="B31" s="3" t="n">
        <v>140000</v>
      </c>
      <c r="C31" t="inlineStr">
        <is>
          <t>$</t>
        </is>
      </c>
    </row>
    <row r="32">
      <c r="A32" t="inlineStr">
        <is>
          <t>Conso réf</t>
        </is>
      </c>
      <c r="B32" s="3" t="n">
        <v>26</v>
      </c>
      <c r="C32" t="inlineStr">
        <is>
          <t>L/100 km</t>
        </is>
      </c>
    </row>
    <row r="33">
      <c r="A33" t="inlineStr">
        <is>
          <t>Entretien réf</t>
        </is>
      </c>
      <c r="B33" s="3" t="n">
        <v>0.25</v>
      </c>
      <c r="C33" t="inlineStr">
        <is>
          <t>$/km</t>
        </is>
      </c>
    </row>
    <row r="34">
      <c r="A34" t="inlineStr">
        <is>
          <t>Prix alt avant taxes</t>
        </is>
      </c>
      <c r="B34" s="3" t="n">
        <v>300000</v>
      </c>
      <c r="C34" t="inlineStr">
        <is>
          <t>$</t>
        </is>
      </c>
    </row>
    <row r="35">
      <c r="A35" t="inlineStr">
        <is>
          <t>Conso alt</t>
        </is>
      </c>
      <c r="B35" s="3" t="n">
        <v>62</v>
      </c>
      <c r="C35" t="inlineStr">
        <is>
          <t>kWh/100 km</t>
        </is>
      </c>
    </row>
    <row r="36">
      <c r="A36" t="inlineStr">
        <is>
          <t>Entretien alt</t>
        </is>
      </c>
      <c r="B36" s="3" t="n">
        <v>0.18</v>
      </c>
      <c r="C36" t="inlineStr">
        <is>
          <t>$/km</t>
        </is>
      </c>
    </row>
    <row r="37">
      <c r="A37" t="inlineStr">
        <is>
          <t>Subvention par véhicule (Écocamionnage 25 %)</t>
        </is>
      </c>
      <c r="B37" s="3" t="n">
        <v>75000</v>
      </c>
      <c r="C37" t="inlineStr">
        <is>
          <t>$</t>
        </is>
      </c>
    </row>
    <row r="38">
      <c r="A38" t="inlineStr">
        <is>
          <t>Année de versement</t>
        </is>
      </c>
      <c r="B38" s="3" t="n">
        <v>1</v>
      </c>
    </row>
    <row r="40">
      <c r="A40" s="2" t="inlineStr">
        <is>
          <t>Infrastructure partagée (an 0)</t>
        </is>
      </c>
    </row>
    <row r="41">
      <c r="A41" t="inlineStr">
        <is>
          <t>Borne (unité)</t>
        </is>
      </c>
      <c r="B41" s="3" t="n">
        <v>15000</v>
      </c>
      <c r="C41" t="inlineStr">
        <is>
          <t>$</t>
        </is>
      </c>
    </row>
    <row r="42">
      <c r="A42" t="inlineStr">
        <is>
          <t>Nombre de bornes</t>
        </is>
      </c>
      <c r="B42" s="3" t="n">
        <v>5</v>
      </c>
    </row>
    <row r="43">
      <c r="A43" t="inlineStr">
        <is>
          <t>Raccordement</t>
        </is>
      </c>
      <c r="B43" s="3" t="n">
        <v>60000</v>
      </c>
      <c r="C43" t="inlineStr">
        <is>
          <t>$</t>
        </is>
      </c>
    </row>
    <row r="44">
      <c r="A44" t="inlineStr">
        <is>
          <t>Capex infra avant taxes</t>
        </is>
      </c>
      <c r="B44" s="4">
        <f>B41*B42+B43</f>
        <v/>
      </c>
      <c r="C44" t="inlineStr">
        <is>
          <t>$</t>
        </is>
      </c>
    </row>
    <row r="46">
      <c r="A46" s="2" t="inlineStr">
        <is>
          <t>Valeurs dérivées (formules)</t>
        </is>
      </c>
    </row>
    <row r="47">
      <c r="A47" t="inlineStr">
        <is>
          <t>kWh compteur/an — 1 véhicule léger</t>
        </is>
      </c>
      <c r="B47" s="4">
        <f>$B$7*$B$12/100*fact_hiver/rendement</f>
        <v/>
      </c>
    </row>
    <row r="48">
      <c r="A48" t="inlineStr">
        <is>
          <t>kWh compteur/an — camionnette</t>
        </is>
      </c>
      <c r="B48" s="4">
        <f>$B$18*$B$23/100*fact_hiver/rendement</f>
        <v/>
      </c>
    </row>
    <row r="49">
      <c r="A49" t="inlineStr">
        <is>
          <t>kWh compteur/an — 1 camion moyen</t>
        </is>
      </c>
      <c r="B49" s="4">
        <f>$B$30*$B$35/100*fact_hiver/rendement</f>
        <v/>
      </c>
    </row>
    <row r="50">
      <c r="A50" t="inlineStr">
        <is>
          <t>kWh compteur/an — total site (année 1)</t>
        </is>
      </c>
      <c r="B50" s="4">
        <f>$B$6*B47+B48+$B$29*B49</f>
        <v/>
      </c>
    </row>
    <row r="51">
      <c r="A51" t="inlineStr">
        <is>
          <t>Prix rachat VL alt an 10 (avant taxes, inflation générale)</t>
        </is>
      </c>
      <c r="B51" s="4">
        <f>$B$11*(1+g_general)^$B$15</f>
        <v/>
      </c>
    </row>
    <row r="52">
      <c r="A52" t="inlineStr">
        <is>
          <t>Prix rachat VL réf an 10 (avant taxes)</t>
        </is>
      </c>
      <c r="B52" s="4">
        <f>$B$8*(1+g_general)^$B$15</f>
        <v/>
      </c>
    </row>
    <row r="53">
      <c r="A53" t="inlineStr">
        <is>
          <t>VR an 10 — VL alt ancien (plancher 10 % du prix initial)</t>
        </is>
      </c>
      <c r="B53" s="4">
        <f>plancher_vr*$B$11</f>
        <v/>
      </c>
    </row>
    <row r="54">
      <c r="A54" t="inlineStr">
        <is>
          <t>VR an 10 — VL réf ancien (plancher 10 %)</t>
        </is>
      </c>
      <c r="B54" s="4">
        <f>plancher_vr*$B$8</f>
        <v/>
      </c>
    </row>
    <row r="55">
      <c r="A55" t="inlineStr">
        <is>
          <t>VR fin 12 — VL alt nouveau (2 ans de possession)</t>
        </is>
      </c>
      <c r="B55" s="4">
        <f>MAX(B51*(1-d_bev)^($B$4-$B$15),plancher_vr*B51)</f>
        <v/>
      </c>
    </row>
    <row r="56">
      <c r="A56" t="inlineStr">
        <is>
          <t>VR fin 12 — VL réf nouveau</t>
        </is>
      </c>
      <c r="B56" s="4">
        <f>MAX(B52*(1-d_diesel)^($B$4-$B$15),plancher_vr*B52)</f>
        <v/>
      </c>
    </row>
    <row r="57">
      <c r="A57" t="inlineStr">
        <is>
          <t>VR fin 12 — camionnette alt</t>
        </is>
      </c>
      <c r="B57" s="4">
        <f>MAX($B$22*(1-d_bev)^$B$4,plancher_vr*$B$22)</f>
        <v/>
      </c>
    </row>
    <row r="58">
      <c r="A58" t="inlineStr">
        <is>
          <t>VR fin 12 — camionnette réf</t>
        </is>
      </c>
      <c r="B58" s="4">
        <f>MAX($B$19*(1-d_diesel)^$B$4,plancher_vr*$B$19)</f>
        <v/>
      </c>
    </row>
    <row r="59">
      <c r="A59" t="inlineStr">
        <is>
          <t>VR fin 12 — 1 camion moyen alt</t>
        </is>
      </c>
      <c r="B59" s="4">
        <f>MAX($B$34*(1-d_bev)^$B$4,plancher_vr*$B$34)</f>
        <v/>
      </c>
    </row>
    <row r="60">
      <c r="A60" t="inlineStr">
        <is>
          <t>VR fin 12 — 1 camion moyen réf</t>
        </is>
      </c>
      <c r="B60" s="4">
        <f>MAX($B$31*(1-d_diesel)^$B$4,plancher_vr*$B$31)</f>
        <v/>
      </c>
    </row>
    <row r="61">
      <c r="A61" t="inlineStr">
        <is>
          <t>VR fin 12 — infrastructure (linéaire 15 ans)</t>
        </is>
      </c>
      <c r="B61" s="4">
        <f>$B$44*(duree_vie_infra-$B$4)/duree_vie_infra</f>
        <v/>
      </c>
    </row>
    <row r="63">
      <c r="A63" s="2" t="inlineStr">
        <is>
          <t>Répartition de l'infrastructure (prorata kWh compteur an 1)</t>
        </is>
      </c>
    </row>
    <row r="64">
      <c r="A64" t="inlineStr">
        <is>
          <t>Part véhicule léger 1</t>
        </is>
      </c>
      <c r="B64" s="4">
        <f>B47/$B$50*$B$44</f>
        <v/>
      </c>
    </row>
    <row r="65">
      <c r="A65" t="inlineStr">
        <is>
          <t>Part véhicule léger 2</t>
        </is>
      </c>
      <c r="B65" s="4">
        <f>B47/$B$50*$B$44</f>
        <v/>
      </c>
    </row>
    <row r="66">
      <c r="A66" t="inlineStr">
        <is>
          <t>Part camionnette</t>
        </is>
      </c>
      <c r="B66" s="4">
        <f>B48/$B$50*$B$44</f>
        <v/>
      </c>
    </row>
    <row r="67">
      <c r="A67" t="inlineStr">
        <is>
          <t>Part camion moyen 1</t>
        </is>
      </c>
      <c r="B67" s="4">
        <f>B49/$B$50*$B$44</f>
        <v/>
      </c>
    </row>
    <row r="68">
      <c r="A68" t="inlineStr">
        <is>
          <t>Part camion moyen 2</t>
        </is>
      </c>
      <c r="B68" s="4">
        <f>B49/$B$50*$B$44</f>
        <v/>
      </c>
    </row>
    <row r="69">
      <c r="A69" t="inlineStr">
        <is>
          <t>Somme des parts</t>
        </is>
      </c>
      <c r="B69" s="4">
        <f>SUM(B64:B68)</f>
        <v/>
      </c>
    </row>
    <row r="70">
      <c r="A70" t="inlineStr">
        <is>
          <t>Contrôle somme = capex</t>
        </is>
      </c>
      <c r="B70" s="4">
        <f>IF(ABS(B69-$B$44)&lt;0.01,"OK","ÉCART")</f>
        <v/>
      </c>
    </row>
    <row r="73">
      <c r="A73" s="2" t="inlineStr">
        <is>
          <t>n</t>
        </is>
      </c>
      <c r="B73" s="2" t="inlineStr">
        <is>
          <t>Acquisition alt</t>
        </is>
      </c>
      <c r="C73" s="2" t="inlineStr">
        <is>
          <t>Subventions</t>
        </is>
      </c>
      <c r="D73" s="2" t="inlineStr">
        <is>
          <t>Énergie alt</t>
        </is>
      </c>
      <c r="E73" s="2" t="inlineStr">
        <is>
          <t>Entretien alt</t>
        </is>
      </c>
      <c r="F73" s="2" t="inlineStr">
        <is>
          <t>Opex infra</t>
        </is>
      </c>
      <c r="G73" s="2" t="inlineStr">
        <is>
          <t>Résiduels alt</t>
        </is>
      </c>
      <c r="H73" s="2" t="inlineStr">
        <is>
          <t>Flux net alt</t>
        </is>
      </c>
      <c r="I73" s="2" t="inlineStr">
        <is>
          <t>Acquisition réf</t>
        </is>
      </c>
      <c r="J73" s="2" t="inlineStr">
        <is>
          <t>Énergie réf</t>
        </is>
      </c>
      <c r="K73" s="2" t="inlineStr">
        <is>
          <t>Entretien réf</t>
        </is>
      </c>
      <c r="L73" s="2" t="inlineStr">
        <is>
          <t>Résiduels réf</t>
        </is>
      </c>
      <c r="M73" s="2" t="inlineStr">
        <is>
          <t>Flux net réf</t>
        </is>
      </c>
      <c r="N73" s="2" t="inlineStr">
        <is>
          <t>Économie nominale</t>
        </is>
      </c>
      <c r="O73" s="2" t="inlineStr">
        <is>
          <t>Facteur actualisation</t>
        </is>
      </c>
      <c r="P73" s="2" t="inlineStr">
        <is>
          <t>Flux act. alt</t>
        </is>
      </c>
      <c r="Q73" s="2" t="inlineStr">
        <is>
          <t>Flux act. réf</t>
        </is>
      </c>
      <c r="R73" s="2" t="inlineStr">
        <is>
          <t>Cumul économie nominale</t>
        </is>
      </c>
      <c r="S73" s="2" t="inlineStr">
        <is>
          <t>Cumul économie actualisée</t>
        </is>
      </c>
      <c r="T73" s="2" t="inlineStr">
        <is>
          <t>km actualisés</t>
        </is>
      </c>
      <c r="U73" s="2" t="inlineStr">
        <is>
          <t>n si cumul nominal &gt;= 0</t>
        </is>
      </c>
      <c r="V73" s="2" t="inlineStr">
        <is>
          <t>n si cumul actualisé &gt;= 0</t>
        </is>
      </c>
      <c r="W73" s="2" t="inlineStr">
        <is>
          <t>TTW réf (t)</t>
        </is>
      </c>
      <c r="X73" s="2" t="inlineStr">
        <is>
          <t>WTW réf (t)</t>
        </is>
      </c>
      <c r="Y73" s="2" t="inlineStr">
        <is>
          <t>WTW alt (t)</t>
        </is>
      </c>
    </row>
    <row r="74">
      <c r="A74" t="n">
        <v>0</v>
      </c>
      <c r="B74" s="5">
        <f>IF(A74=0,($B$6*$B$11+$B$22+$B$29*$B$34+$B$44)*(1+taux_taxes),IF(A74=$B$15,$B$6*$B$51*(1+taux_taxes),0))</f>
        <v/>
      </c>
      <c r="C74" s="5">
        <f>IF(A74=0,$B$6*$B$14,IF(A74=1,$B$25+$B$29*$B$37,0))</f>
        <v/>
      </c>
      <c r="D74" s="5">
        <f>IF(A74=0,0,$B$50*prix_elec*(1+g_elec)^A74)</f>
        <v/>
      </c>
      <c r="E74" s="5">
        <f>IF(A74=0,0,($B$6*$B$7*$B$13+$B$18*$B$24+$B$29*$B$30*$B$36)*(1+g_entretien)^A74)</f>
        <v/>
      </c>
      <c r="F74" s="5">
        <f>IF(A74=0,0,infra_entretien_pct*$B$44*(1+g_entretien)^A74)</f>
        <v/>
      </c>
      <c r="G74" s="5">
        <f>IF(A74=$B$15,$B$6*$B$53,IF(A74=$B$4,$B$6*$B$55+$B$57+$B$29*$B$59+$B$61,0))</f>
        <v/>
      </c>
      <c r="H74" s="5">
        <f>B74-C74+D74+E74+F74-G74</f>
        <v/>
      </c>
      <c r="I74" s="5">
        <f>IF(A74=0,($B$6*$B$8+$B$19+$B$29*$B$31)*(1+taux_taxes),IF(A74=$B$15,$B$6*$B$52*(1+taux_taxes),0))</f>
        <v/>
      </c>
      <c r="J74" s="5">
        <f>IF(A74=0,0,($B$6*$B$7*$B$9+$B$18*$B$20+$B$29*$B$30*$B$32)/100*prix_diesel*(1+g_diesel)^A74)</f>
        <v/>
      </c>
      <c r="K74" s="5">
        <f>IF(A74=0,0,($B$6*$B$7*$B$10+$B$18*$B$21+$B$29*$B$30*$B$33)*(1+g_entretien)^A74)</f>
        <v/>
      </c>
      <c r="L74" s="5">
        <f>IF(A74=$B$15,$B$6*$B$54,IF(A74=$B$4,$B$6*$B$56+$B$58+$B$29*$B$60,0))</f>
        <v/>
      </c>
      <c r="M74" s="5">
        <f>I74+J74+K74-L74</f>
        <v/>
      </c>
      <c r="N74" s="5">
        <f>M74-H74</f>
        <v/>
      </c>
      <c r="O74" s="5">
        <f>1/(1+taux_r)^A74</f>
        <v/>
      </c>
      <c r="P74" s="5">
        <f>H74*O74</f>
        <v/>
      </c>
      <c r="Q74" s="5">
        <f>M74*O74</f>
        <v/>
      </c>
      <c r="R74" s="5">
        <f>N74</f>
        <v/>
      </c>
      <c r="S74" s="5">
        <f>N74*O74</f>
        <v/>
      </c>
      <c r="T74" s="5">
        <f>IF(A74=0,0,($B$6*$B$7+$B$18+$B$29*$B$30)*O74)</f>
        <v/>
      </c>
      <c r="U74" s="6">
        <f>IF(R74&gt;=0,A74,"")</f>
        <v/>
      </c>
      <c r="V74" s="6">
        <f>IF(S74&gt;=0,A74,"")</f>
        <v/>
      </c>
      <c r="W74" s="6">
        <f>IF(A74=0,0,(($B$6*$B$7*$B$9+$B$18*$B$20)*fe_leger+$B$29*$B$30*$B$32*fe_lourd)/100/1000)</f>
        <v/>
      </c>
      <c r="X74" s="6">
        <f>W74*ratio_wtw</f>
        <v/>
      </c>
      <c r="Y74" s="6">
        <f>IF(A74=0,0,$B$50*fe_elec/1000000)</f>
        <v/>
      </c>
    </row>
    <row r="75">
      <c r="A75">
        <f>A74+1</f>
        <v/>
      </c>
      <c r="B75" s="5">
        <f>IF(A75=0,($B$6*$B$11+$B$22+$B$29*$B$34+$B$44)*(1+taux_taxes),IF(A75=$B$15,$B$6*$B$51*(1+taux_taxes),0))</f>
        <v/>
      </c>
      <c r="C75" s="5">
        <f>IF(A75=0,$B$6*$B$14,IF(A75=1,$B$25+$B$29*$B$37,0))</f>
        <v/>
      </c>
      <c r="D75" s="5">
        <f>IF(A75=0,0,$B$50*prix_elec*(1+g_elec)^A75)</f>
        <v/>
      </c>
      <c r="E75" s="5">
        <f>IF(A75=0,0,($B$6*$B$7*$B$13+$B$18*$B$24+$B$29*$B$30*$B$36)*(1+g_entretien)^A75)</f>
        <v/>
      </c>
      <c r="F75" s="5">
        <f>IF(A75=0,0,infra_entretien_pct*$B$44*(1+g_entretien)^A75)</f>
        <v/>
      </c>
      <c r="G75" s="5">
        <f>IF(A75=$B$15,$B$6*$B$53,IF(A75=$B$4,$B$6*$B$55+$B$57+$B$29*$B$59+$B$61,0))</f>
        <v/>
      </c>
      <c r="H75" s="5">
        <f>B75-C75+D75+E75+F75-G75</f>
        <v/>
      </c>
      <c r="I75" s="5">
        <f>IF(A75=0,($B$6*$B$8+$B$19+$B$29*$B$31)*(1+taux_taxes),IF(A75=$B$15,$B$6*$B$52*(1+taux_taxes),0))</f>
        <v/>
      </c>
      <c r="J75" s="5">
        <f>IF(A75=0,0,($B$6*$B$7*$B$9+$B$18*$B$20+$B$29*$B$30*$B$32)/100*prix_diesel*(1+g_diesel)^A75)</f>
        <v/>
      </c>
      <c r="K75" s="5">
        <f>IF(A75=0,0,($B$6*$B$7*$B$10+$B$18*$B$21+$B$29*$B$30*$B$33)*(1+g_entretien)^A75)</f>
        <v/>
      </c>
      <c r="L75" s="5">
        <f>IF(A75=$B$15,$B$6*$B$54,IF(A75=$B$4,$B$6*$B$56+$B$58+$B$29*$B$60,0))</f>
        <v/>
      </c>
      <c r="M75" s="5">
        <f>I75+J75+K75-L75</f>
        <v/>
      </c>
      <c r="N75" s="5">
        <f>M75-H75</f>
        <v/>
      </c>
      <c r="O75" s="5">
        <f>1/(1+taux_r)^A75</f>
        <v/>
      </c>
      <c r="P75" s="5">
        <f>H75*O75</f>
        <v/>
      </c>
      <c r="Q75" s="5">
        <f>M75*O75</f>
        <v/>
      </c>
      <c r="R75" s="5">
        <f>R74+N75</f>
        <v/>
      </c>
      <c r="S75" s="5">
        <f>S74+N75*O75</f>
        <v/>
      </c>
      <c r="T75" s="5">
        <f>IF(A75=0,0,($B$6*$B$7+$B$18+$B$29*$B$30)*O75)</f>
        <v/>
      </c>
      <c r="U75" s="6">
        <f>IF(R75&gt;=0,A75,"")</f>
        <v/>
      </c>
      <c r="V75" s="6">
        <f>IF(S75&gt;=0,A75,"")</f>
        <v/>
      </c>
      <c r="W75" s="6">
        <f>IF(A75=0,0,(($B$6*$B$7*$B$9+$B$18*$B$20)*fe_leger+$B$29*$B$30*$B$32*fe_lourd)/100/1000)</f>
        <v/>
      </c>
      <c r="X75" s="6">
        <f>W75*ratio_wtw</f>
        <v/>
      </c>
      <c r="Y75" s="6">
        <f>IF(A75=0,0,$B$50*fe_elec/1000000)</f>
        <v/>
      </c>
    </row>
    <row r="76">
      <c r="A76">
        <f>A75+1</f>
        <v/>
      </c>
      <c r="B76" s="5">
        <f>IF(A76=0,($B$6*$B$11+$B$22+$B$29*$B$34+$B$44)*(1+taux_taxes),IF(A76=$B$15,$B$6*$B$51*(1+taux_taxes),0))</f>
        <v/>
      </c>
      <c r="C76" s="5">
        <f>IF(A76=0,$B$6*$B$14,IF(A76=1,$B$25+$B$29*$B$37,0))</f>
        <v/>
      </c>
      <c r="D76" s="5">
        <f>IF(A76=0,0,$B$50*prix_elec*(1+g_elec)^A76)</f>
        <v/>
      </c>
      <c r="E76" s="5">
        <f>IF(A76=0,0,($B$6*$B$7*$B$13+$B$18*$B$24+$B$29*$B$30*$B$36)*(1+g_entretien)^A76)</f>
        <v/>
      </c>
      <c r="F76" s="5">
        <f>IF(A76=0,0,infra_entretien_pct*$B$44*(1+g_entretien)^A76)</f>
        <v/>
      </c>
      <c r="G76" s="5">
        <f>IF(A76=$B$15,$B$6*$B$53,IF(A76=$B$4,$B$6*$B$55+$B$57+$B$29*$B$59+$B$61,0))</f>
        <v/>
      </c>
      <c r="H76" s="5">
        <f>B76-C76+D76+E76+F76-G76</f>
        <v/>
      </c>
      <c r="I76" s="5">
        <f>IF(A76=0,($B$6*$B$8+$B$19+$B$29*$B$31)*(1+taux_taxes),IF(A76=$B$15,$B$6*$B$52*(1+taux_taxes),0))</f>
        <v/>
      </c>
      <c r="J76" s="5">
        <f>IF(A76=0,0,($B$6*$B$7*$B$9+$B$18*$B$20+$B$29*$B$30*$B$32)/100*prix_diesel*(1+g_diesel)^A76)</f>
        <v/>
      </c>
      <c r="K76" s="5">
        <f>IF(A76=0,0,($B$6*$B$7*$B$10+$B$18*$B$21+$B$29*$B$30*$B$33)*(1+g_entretien)^A76)</f>
        <v/>
      </c>
      <c r="L76" s="5">
        <f>IF(A76=$B$15,$B$6*$B$54,IF(A76=$B$4,$B$6*$B$56+$B$58+$B$29*$B$60,0))</f>
        <v/>
      </c>
      <c r="M76" s="5">
        <f>I76+J76+K76-L76</f>
        <v/>
      </c>
      <c r="N76" s="5">
        <f>M76-H76</f>
        <v/>
      </c>
      <c r="O76" s="5">
        <f>1/(1+taux_r)^A76</f>
        <v/>
      </c>
      <c r="P76" s="5">
        <f>H76*O76</f>
        <v/>
      </c>
      <c r="Q76" s="5">
        <f>M76*O76</f>
        <v/>
      </c>
      <c r="R76" s="5">
        <f>R75+N76</f>
        <v/>
      </c>
      <c r="S76" s="5">
        <f>S75+N76*O76</f>
        <v/>
      </c>
      <c r="T76" s="5">
        <f>IF(A76=0,0,($B$6*$B$7+$B$18+$B$29*$B$30)*O76)</f>
        <v/>
      </c>
      <c r="U76" s="6">
        <f>IF(R76&gt;=0,A76,"")</f>
        <v/>
      </c>
      <c r="V76" s="6">
        <f>IF(S76&gt;=0,A76,"")</f>
        <v/>
      </c>
      <c r="W76" s="6">
        <f>IF(A76=0,0,(($B$6*$B$7*$B$9+$B$18*$B$20)*fe_leger+$B$29*$B$30*$B$32*fe_lourd)/100/1000)</f>
        <v/>
      </c>
      <c r="X76" s="6">
        <f>W76*ratio_wtw</f>
        <v/>
      </c>
      <c r="Y76" s="6">
        <f>IF(A76=0,0,$B$50*fe_elec/1000000)</f>
        <v/>
      </c>
    </row>
    <row r="77">
      <c r="A77">
        <f>A76+1</f>
        <v/>
      </c>
      <c r="B77" s="5">
        <f>IF(A77=0,($B$6*$B$11+$B$22+$B$29*$B$34+$B$44)*(1+taux_taxes),IF(A77=$B$15,$B$6*$B$51*(1+taux_taxes),0))</f>
        <v/>
      </c>
      <c r="C77" s="5">
        <f>IF(A77=0,$B$6*$B$14,IF(A77=1,$B$25+$B$29*$B$37,0))</f>
        <v/>
      </c>
      <c r="D77" s="5">
        <f>IF(A77=0,0,$B$50*prix_elec*(1+g_elec)^A77)</f>
        <v/>
      </c>
      <c r="E77" s="5">
        <f>IF(A77=0,0,($B$6*$B$7*$B$13+$B$18*$B$24+$B$29*$B$30*$B$36)*(1+g_entretien)^A77)</f>
        <v/>
      </c>
      <c r="F77" s="5">
        <f>IF(A77=0,0,infra_entretien_pct*$B$44*(1+g_entretien)^A77)</f>
        <v/>
      </c>
      <c r="G77" s="5">
        <f>IF(A77=$B$15,$B$6*$B$53,IF(A77=$B$4,$B$6*$B$55+$B$57+$B$29*$B$59+$B$61,0))</f>
        <v/>
      </c>
      <c r="H77" s="5">
        <f>B77-C77+D77+E77+F77-G77</f>
        <v/>
      </c>
      <c r="I77" s="5">
        <f>IF(A77=0,($B$6*$B$8+$B$19+$B$29*$B$31)*(1+taux_taxes),IF(A77=$B$15,$B$6*$B$52*(1+taux_taxes),0))</f>
        <v/>
      </c>
      <c r="J77" s="5">
        <f>IF(A77=0,0,($B$6*$B$7*$B$9+$B$18*$B$20+$B$29*$B$30*$B$32)/100*prix_diesel*(1+g_diesel)^A77)</f>
        <v/>
      </c>
      <c r="K77" s="5">
        <f>IF(A77=0,0,($B$6*$B$7*$B$10+$B$18*$B$21+$B$29*$B$30*$B$33)*(1+g_entretien)^A77)</f>
        <v/>
      </c>
      <c r="L77" s="5">
        <f>IF(A77=$B$15,$B$6*$B$54,IF(A77=$B$4,$B$6*$B$56+$B$58+$B$29*$B$60,0))</f>
        <v/>
      </c>
      <c r="M77" s="5">
        <f>I77+J77+K77-L77</f>
        <v/>
      </c>
      <c r="N77" s="5">
        <f>M77-H77</f>
        <v/>
      </c>
      <c r="O77" s="5">
        <f>1/(1+taux_r)^A77</f>
        <v/>
      </c>
      <c r="P77" s="5">
        <f>H77*O77</f>
        <v/>
      </c>
      <c r="Q77" s="5">
        <f>M77*O77</f>
        <v/>
      </c>
      <c r="R77" s="5">
        <f>R76+N77</f>
        <v/>
      </c>
      <c r="S77" s="5">
        <f>S76+N77*O77</f>
        <v/>
      </c>
      <c r="T77" s="5">
        <f>IF(A77=0,0,($B$6*$B$7+$B$18+$B$29*$B$30)*O77)</f>
        <v/>
      </c>
      <c r="U77" s="6">
        <f>IF(R77&gt;=0,A77,"")</f>
        <v/>
      </c>
      <c r="V77" s="6">
        <f>IF(S77&gt;=0,A77,"")</f>
        <v/>
      </c>
      <c r="W77" s="6">
        <f>IF(A77=0,0,(($B$6*$B$7*$B$9+$B$18*$B$20)*fe_leger+$B$29*$B$30*$B$32*fe_lourd)/100/1000)</f>
        <v/>
      </c>
      <c r="X77" s="6">
        <f>W77*ratio_wtw</f>
        <v/>
      </c>
      <c r="Y77" s="6">
        <f>IF(A77=0,0,$B$50*fe_elec/1000000)</f>
        <v/>
      </c>
    </row>
    <row r="78">
      <c r="A78">
        <f>A77+1</f>
        <v/>
      </c>
      <c r="B78" s="5">
        <f>IF(A78=0,($B$6*$B$11+$B$22+$B$29*$B$34+$B$44)*(1+taux_taxes),IF(A78=$B$15,$B$6*$B$51*(1+taux_taxes),0))</f>
        <v/>
      </c>
      <c r="C78" s="5">
        <f>IF(A78=0,$B$6*$B$14,IF(A78=1,$B$25+$B$29*$B$37,0))</f>
        <v/>
      </c>
      <c r="D78" s="5">
        <f>IF(A78=0,0,$B$50*prix_elec*(1+g_elec)^A78)</f>
        <v/>
      </c>
      <c r="E78" s="5">
        <f>IF(A78=0,0,($B$6*$B$7*$B$13+$B$18*$B$24+$B$29*$B$30*$B$36)*(1+g_entretien)^A78)</f>
        <v/>
      </c>
      <c r="F78" s="5">
        <f>IF(A78=0,0,infra_entretien_pct*$B$44*(1+g_entretien)^A78)</f>
        <v/>
      </c>
      <c r="G78" s="5">
        <f>IF(A78=$B$15,$B$6*$B$53,IF(A78=$B$4,$B$6*$B$55+$B$57+$B$29*$B$59+$B$61,0))</f>
        <v/>
      </c>
      <c r="H78" s="5">
        <f>B78-C78+D78+E78+F78-G78</f>
        <v/>
      </c>
      <c r="I78" s="5">
        <f>IF(A78=0,($B$6*$B$8+$B$19+$B$29*$B$31)*(1+taux_taxes),IF(A78=$B$15,$B$6*$B$52*(1+taux_taxes),0))</f>
        <v/>
      </c>
      <c r="J78" s="5">
        <f>IF(A78=0,0,($B$6*$B$7*$B$9+$B$18*$B$20+$B$29*$B$30*$B$32)/100*prix_diesel*(1+g_diesel)^A78)</f>
        <v/>
      </c>
      <c r="K78" s="5">
        <f>IF(A78=0,0,($B$6*$B$7*$B$10+$B$18*$B$21+$B$29*$B$30*$B$33)*(1+g_entretien)^A78)</f>
        <v/>
      </c>
      <c r="L78" s="5">
        <f>IF(A78=$B$15,$B$6*$B$54,IF(A78=$B$4,$B$6*$B$56+$B$58+$B$29*$B$60,0))</f>
        <v/>
      </c>
      <c r="M78" s="5">
        <f>I78+J78+K78-L78</f>
        <v/>
      </c>
      <c r="N78" s="5">
        <f>M78-H78</f>
        <v/>
      </c>
      <c r="O78" s="5">
        <f>1/(1+taux_r)^A78</f>
        <v/>
      </c>
      <c r="P78" s="5">
        <f>H78*O78</f>
        <v/>
      </c>
      <c r="Q78" s="5">
        <f>M78*O78</f>
        <v/>
      </c>
      <c r="R78" s="5">
        <f>R77+N78</f>
        <v/>
      </c>
      <c r="S78" s="5">
        <f>S77+N78*O78</f>
        <v/>
      </c>
      <c r="T78" s="5">
        <f>IF(A78=0,0,($B$6*$B$7+$B$18+$B$29*$B$30)*O78)</f>
        <v/>
      </c>
      <c r="U78" s="6">
        <f>IF(R78&gt;=0,A78,"")</f>
        <v/>
      </c>
      <c r="V78" s="6">
        <f>IF(S78&gt;=0,A78,"")</f>
        <v/>
      </c>
      <c r="W78" s="6">
        <f>IF(A78=0,0,(($B$6*$B$7*$B$9+$B$18*$B$20)*fe_leger+$B$29*$B$30*$B$32*fe_lourd)/100/1000)</f>
        <v/>
      </c>
      <c r="X78" s="6">
        <f>W78*ratio_wtw</f>
        <v/>
      </c>
      <c r="Y78" s="6">
        <f>IF(A78=0,0,$B$50*fe_elec/1000000)</f>
        <v/>
      </c>
    </row>
    <row r="79">
      <c r="A79">
        <f>A78+1</f>
        <v/>
      </c>
      <c r="B79" s="5">
        <f>IF(A79=0,($B$6*$B$11+$B$22+$B$29*$B$34+$B$44)*(1+taux_taxes),IF(A79=$B$15,$B$6*$B$51*(1+taux_taxes),0))</f>
        <v/>
      </c>
      <c r="C79" s="5">
        <f>IF(A79=0,$B$6*$B$14,IF(A79=1,$B$25+$B$29*$B$37,0))</f>
        <v/>
      </c>
      <c r="D79" s="5">
        <f>IF(A79=0,0,$B$50*prix_elec*(1+g_elec)^A79)</f>
        <v/>
      </c>
      <c r="E79" s="5">
        <f>IF(A79=0,0,($B$6*$B$7*$B$13+$B$18*$B$24+$B$29*$B$30*$B$36)*(1+g_entretien)^A79)</f>
        <v/>
      </c>
      <c r="F79" s="5">
        <f>IF(A79=0,0,infra_entretien_pct*$B$44*(1+g_entretien)^A79)</f>
        <v/>
      </c>
      <c r="G79" s="5">
        <f>IF(A79=$B$15,$B$6*$B$53,IF(A79=$B$4,$B$6*$B$55+$B$57+$B$29*$B$59+$B$61,0))</f>
        <v/>
      </c>
      <c r="H79" s="5">
        <f>B79-C79+D79+E79+F79-G79</f>
        <v/>
      </c>
      <c r="I79" s="5">
        <f>IF(A79=0,($B$6*$B$8+$B$19+$B$29*$B$31)*(1+taux_taxes),IF(A79=$B$15,$B$6*$B$52*(1+taux_taxes),0))</f>
        <v/>
      </c>
      <c r="J79" s="5">
        <f>IF(A79=0,0,($B$6*$B$7*$B$9+$B$18*$B$20+$B$29*$B$30*$B$32)/100*prix_diesel*(1+g_diesel)^A79)</f>
        <v/>
      </c>
      <c r="K79" s="5">
        <f>IF(A79=0,0,($B$6*$B$7*$B$10+$B$18*$B$21+$B$29*$B$30*$B$33)*(1+g_entretien)^A79)</f>
        <v/>
      </c>
      <c r="L79" s="5">
        <f>IF(A79=$B$15,$B$6*$B$54,IF(A79=$B$4,$B$6*$B$56+$B$58+$B$29*$B$60,0))</f>
        <v/>
      </c>
      <c r="M79" s="5">
        <f>I79+J79+K79-L79</f>
        <v/>
      </c>
      <c r="N79" s="5">
        <f>M79-H79</f>
        <v/>
      </c>
      <c r="O79" s="5">
        <f>1/(1+taux_r)^A79</f>
        <v/>
      </c>
      <c r="P79" s="5">
        <f>H79*O79</f>
        <v/>
      </c>
      <c r="Q79" s="5">
        <f>M79*O79</f>
        <v/>
      </c>
      <c r="R79" s="5">
        <f>R78+N79</f>
        <v/>
      </c>
      <c r="S79" s="5">
        <f>S78+N79*O79</f>
        <v/>
      </c>
      <c r="T79" s="5">
        <f>IF(A79=0,0,($B$6*$B$7+$B$18+$B$29*$B$30)*O79)</f>
        <v/>
      </c>
      <c r="U79" s="6">
        <f>IF(R79&gt;=0,A79,"")</f>
        <v/>
      </c>
      <c r="V79" s="6">
        <f>IF(S79&gt;=0,A79,"")</f>
        <v/>
      </c>
      <c r="W79" s="6">
        <f>IF(A79=0,0,(($B$6*$B$7*$B$9+$B$18*$B$20)*fe_leger+$B$29*$B$30*$B$32*fe_lourd)/100/1000)</f>
        <v/>
      </c>
      <c r="X79" s="6">
        <f>W79*ratio_wtw</f>
        <v/>
      </c>
      <c r="Y79" s="6">
        <f>IF(A79=0,0,$B$50*fe_elec/1000000)</f>
        <v/>
      </c>
    </row>
    <row r="80">
      <c r="A80">
        <f>A79+1</f>
        <v/>
      </c>
      <c r="B80" s="5">
        <f>IF(A80=0,($B$6*$B$11+$B$22+$B$29*$B$34+$B$44)*(1+taux_taxes),IF(A80=$B$15,$B$6*$B$51*(1+taux_taxes),0))</f>
        <v/>
      </c>
      <c r="C80" s="5">
        <f>IF(A80=0,$B$6*$B$14,IF(A80=1,$B$25+$B$29*$B$37,0))</f>
        <v/>
      </c>
      <c r="D80" s="5">
        <f>IF(A80=0,0,$B$50*prix_elec*(1+g_elec)^A80)</f>
        <v/>
      </c>
      <c r="E80" s="5">
        <f>IF(A80=0,0,($B$6*$B$7*$B$13+$B$18*$B$24+$B$29*$B$30*$B$36)*(1+g_entretien)^A80)</f>
        <v/>
      </c>
      <c r="F80" s="5">
        <f>IF(A80=0,0,infra_entretien_pct*$B$44*(1+g_entretien)^A80)</f>
        <v/>
      </c>
      <c r="G80" s="5">
        <f>IF(A80=$B$15,$B$6*$B$53,IF(A80=$B$4,$B$6*$B$55+$B$57+$B$29*$B$59+$B$61,0))</f>
        <v/>
      </c>
      <c r="H80" s="5">
        <f>B80-C80+D80+E80+F80-G80</f>
        <v/>
      </c>
      <c r="I80" s="5">
        <f>IF(A80=0,($B$6*$B$8+$B$19+$B$29*$B$31)*(1+taux_taxes),IF(A80=$B$15,$B$6*$B$52*(1+taux_taxes),0))</f>
        <v/>
      </c>
      <c r="J80" s="5">
        <f>IF(A80=0,0,($B$6*$B$7*$B$9+$B$18*$B$20+$B$29*$B$30*$B$32)/100*prix_diesel*(1+g_diesel)^A80)</f>
        <v/>
      </c>
      <c r="K80" s="5">
        <f>IF(A80=0,0,($B$6*$B$7*$B$10+$B$18*$B$21+$B$29*$B$30*$B$33)*(1+g_entretien)^A80)</f>
        <v/>
      </c>
      <c r="L80" s="5">
        <f>IF(A80=$B$15,$B$6*$B$54,IF(A80=$B$4,$B$6*$B$56+$B$58+$B$29*$B$60,0))</f>
        <v/>
      </c>
      <c r="M80" s="5">
        <f>I80+J80+K80-L80</f>
        <v/>
      </c>
      <c r="N80" s="5">
        <f>M80-H80</f>
        <v/>
      </c>
      <c r="O80" s="5">
        <f>1/(1+taux_r)^A80</f>
        <v/>
      </c>
      <c r="P80" s="5">
        <f>H80*O80</f>
        <v/>
      </c>
      <c r="Q80" s="5">
        <f>M80*O80</f>
        <v/>
      </c>
      <c r="R80" s="5">
        <f>R79+N80</f>
        <v/>
      </c>
      <c r="S80" s="5">
        <f>S79+N80*O80</f>
        <v/>
      </c>
      <c r="T80" s="5">
        <f>IF(A80=0,0,($B$6*$B$7+$B$18+$B$29*$B$30)*O80)</f>
        <v/>
      </c>
      <c r="U80" s="6">
        <f>IF(R80&gt;=0,A80,"")</f>
        <v/>
      </c>
      <c r="V80" s="6">
        <f>IF(S80&gt;=0,A80,"")</f>
        <v/>
      </c>
      <c r="W80" s="6">
        <f>IF(A80=0,0,(($B$6*$B$7*$B$9+$B$18*$B$20)*fe_leger+$B$29*$B$30*$B$32*fe_lourd)/100/1000)</f>
        <v/>
      </c>
      <c r="X80" s="6">
        <f>W80*ratio_wtw</f>
        <v/>
      </c>
      <c r="Y80" s="6">
        <f>IF(A80=0,0,$B$50*fe_elec/1000000)</f>
        <v/>
      </c>
    </row>
    <row r="81">
      <c r="A81">
        <f>A80+1</f>
        <v/>
      </c>
      <c r="B81" s="5">
        <f>IF(A81=0,($B$6*$B$11+$B$22+$B$29*$B$34+$B$44)*(1+taux_taxes),IF(A81=$B$15,$B$6*$B$51*(1+taux_taxes),0))</f>
        <v/>
      </c>
      <c r="C81" s="5">
        <f>IF(A81=0,$B$6*$B$14,IF(A81=1,$B$25+$B$29*$B$37,0))</f>
        <v/>
      </c>
      <c r="D81" s="5">
        <f>IF(A81=0,0,$B$50*prix_elec*(1+g_elec)^A81)</f>
        <v/>
      </c>
      <c r="E81" s="5">
        <f>IF(A81=0,0,($B$6*$B$7*$B$13+$B$18*$B$24+$B$29*$B$30*$B$36)*(1+g_entretien)^A81)</f>
        <v/>
      </c>
      <c r="F81" s="5">
        <f>IF(A81=0,0,infra_entretien_pct*$B$44*(1+g_entretien)^A81)</f>
        <v/>
      </c>
      <c r="G81" s="5">
        <f>IF(A81=$B$15,$B$6*$B$53,IF(A81=$B$4,$B$6*$B$55+$B$57+$B$29*$B$59+$B$61,0))</f>
        <v/>
      </c>
      <c r="H81" s="5">
        <f>B81-C81+D81+E81+F81-G81</f>
        <v/>
      </c>
      <c r="I81" s="5">
        <f>IF(A81=0,($B$6*$B$8+$B$19+$B$29*$B$31)*(1+taux_taxes),IF(A81=$B$15,$B$6*$B$52*(1+taux_taxes),0))</f>
        <v/>
      </c>
      <c r="J81" s="5">
        <f>IF(A81=0,0,($B$6*$B$7*$B$9+$B$18*$B$20+$B$29*$B$30*$B$32)/100*prix_diesel*(1+g_diesel)^A81)</f>
        <v/>
      </c>
      <c r="K81" s="5">
        <f>IF(A81=0,0,($B$6*$B$7*$B$10+$B$18*$B$21+$B$29*$B$30*$B$33)*(1+g_entretien)^A81)</f>
        <v/>
      </c>
      <c r="L81" s="5">
        <f>IF(A81=$B$15,$B$6*$B$54,IF(A81=$B$4,$B$6*$B$56+$B$58+$B$29*$B$60,0))</f>
        <v/>
      </c>
      <c r="M81" s="5">
        <f>I81+J81+K81-L81</f>
        <v/>
      </c>
      <c r="N81" s="5">
        <f>M81-H81</f>
        <v/>
      </c>
      <c r="O81" s="5">
        <f>1/(1+taux_r)^A81</f>
        <v/>
      </c>
      <c r="P81" s="5">
        <f>H81*O81</f>
        <v/>
      </c>
      <c r="Q81" s="5">
        <f>M81*O81</f>
        <v/>
      </c>
      <c r="R81" s="5">
        <f>R80+N81</f>
        <v/>
      </c>
      <c r="S81" s="5">
        <f>S80+N81*O81</f>
        <v/>
      </c>
      <c r="T81" s="5">
        <f>IF(A81=0,0,($B$6*$B$7+$B$18+$B$29*$B$30)*O81)</f>
        <v/>
      </c>
      <c r="U81" s="6">
        <f>IF(R81&gt;=0,A81,"")</f>
        <v/>
      </c>
      <c r="V81" s="6">
        <f>IF(S81&gt;=0,A81,"")</f>
        <v/>
      </c>
      <c r="W81" s="6">
        <f>IF(A81=0,0,(($B$6*$B$7*$B$9+$B$18*$B$20)*fe_leger+$B$29*$B$30*$B$32*fe_lourd)/100/1000)</f>
        <v/>
      </c>
      <c r="X81" s="6">
        <f>W81*ratio_wtw</f>
        <v/>
      </c>
      <c r="Y81" s="6">
        <f>IF(A81=0,0,$B$50*fe_elec/1000000)</f>
        <v/>
      </c>
    </row>
    <row r="82">
      <c r="A82">
        <f>A81+1</f>
        <v/>
      </c>
      <c r="B82" s="5">
        <f>IF(A82=0,($B$6*$B$11+$B$22+$B$29*$B$34+$B$44)*(1+taux_taxes),IF(A82=$B$15,$B$6*$B$51*(1+taux_taxes),0))</f>
        <v/>
      </c>
      <c r="C82" s="5">
        <f>IF(A82=0,$B$6*$B$14,IF(A82=1,$B$25+$B$29*$B$37,0))</f>
        <v/>
      </c>
      <c r="D82" s="5">
        <f>IF(A82=0,0,$B$50*prix_elec*(1+g_elec)^A82)</f>
        <v/>
      </c>
      <c r="E82" s="5">
        <f>IF(A82=0,0,($B$6*$B$7*$B$13+$B$18*$B$24+$B$29*$B$30*$B$36)*(1+g_entretien)^A82)</f>
        <v/>
      </c>
      <c r="F82" s="5">
        <f>IF(A82=0,0,infra_entretien_pct*$B$44*(1+g_entretien)^A82)</f>
        <v/>
      </c>
      <c r="G82" s="5">
        <f>IF(A82=$B$15,$B$6*$B$53,IF(A82=$B$4,$B$6*$B$55+$B$57+$B$29*$B$59+$B$61,0))</f>
        <v/>
      </c>
      <c r="H82" s="5">
        <f>B82-C82+D82+E82+F82-G82</f>
        <v/>
      </c>
      <c r="I82" s="5">
        <f>IF(A82=0,($B$6*$B$8+$B$19+$B$29*$B$31)*(1+taux_taxes),IF(A82=$B$15,$B$6*$B$52*(1+taux_taxes),0))</f>
        <v/>
      </c>
      <c r="J82" s="5">
        <f>IF(A82=0,0,($B$6*$B$7*$B$9+$B$18*$B$20+$B$29*$B$30*$B$32)/100*prix_diesel*(1+g_diesel)^A82)</f>
        <v/>
      </c>
      <c r="K82" s="5">
        <f>IF(A82=0,0,($B$6*$B$7*$B$10+$B$18*$B$21+$B$29*$B$30*$B$33)*(1+g_entretien)^A82)</f>
        <v/>
      </c>
      <c r="L82" s="5">
        <f>IF(A82=$B$15,$B$6*$B$54,IF(A82=$B$4,$B$6*$B$56+$B$58+$B$29*$B$60,0))</f>
        <v/>
      </c>
      <c r="M82" s="5">
        <f>I82+J82+K82-L82</f>
        <v/>
      </c>
      <c r="N82" s="5">
        <f>M82-H82</f>
        <v/>
      </c>
      <c r="O82" s="5">
        <f>1/(1+taux_r)^A82</f>
        <v/>
      </c>
      <c r="P82" s="5">
        <f>H82*O82</f>
        <v/>
      </c>
      <c r="Q82" s="5">
        <f>M82*O82</f>
        <v/>
      </c>
      <c r="R82" s="5">
        <f>R81+N82</f>
        <v/>
      </c>
      <c r="S82" s="5">
        <f>S81+N82*O82</f>
        <v/>
      </c>
      <c r="T82" s="5">
        <f>IF(A82=0,0,($B$6*$B$7+$B$18+$B$29*$B$30)*O82)</f>
        <v/>
      </c>
      <c r="U82" s="6">
        <f>IF(R82&gt;=0,A82,"")</f>
        <v/>
      </c>
      <c r="V82" s="6">
        <f>IF(S82&gt;=0,A82,"")</f>
        <v/>
      </c>
      <c r="W82" s="6">
        <f>IF(A82=0,0,(($B$6*$B$7*$B$9+$B$18*$B$20)*fe_leger+$B$29*$B$30*$B$32*fe_lourd)/100/1000)</f>
        <v/>
      </c>
      <c r="X82" s="6">
        <f>W82*ratio_wtw</f>
        <v/>
      </c>
      <c r="Y82" s="6">
        <f>IF(A82=0,0,$B$50*fe_elec/1000000)</f>
        <v/>
      </c>
    </row>
    <row r="83">
      <c r="A83">
        <f>A82+1</f>
        <v/>
      </c>
      <c r="B83" s="5">
        <f>IF(A83=0,($B$6*$B$11+$B$22+$B$29*$B$34+$B$44)*(1+taux_taxes),IF(A83=$B$15,$B$6*$B$51*(1+taux_taxes),0))</f>
        <v/>
      </c>
      <c r="C83" s="5">
        <f>IF(A83=0,$B$6*$B$14,IF(A83=1,$B$25+$B$29*$B$37,0))</f>
        <v/>
      </c>
      <c r="D83" s="5">
        <f>IF(A83=0,0,$B$50*prix_elec*(1+g_elec)^A83)</f>
        <v/>
      </c>
      <c r="E83" s="5">
        <f>IF(A83=0,0,($B$6*$B$7*$B$13+$B$18*$B$24+$B$29*$B$30*$B$36)*(1+g_entretien)^A83)</f>
        <v/>
      </c>
      <c r="F83" s="5">
        <f>IF(A83=0,0,infra_entretien_pct*$B$44*(1+g_entretien)^A83)</f>
        <v/>
      </c>
      <c r="G83" s="5">
        <f>IF(A83=$B$15,$B$6*$B$53,IF(A83=$B$4,$B$6*$B$55+$B$57+$B$29*$B$59+$B$61,0))</f>
        <v/>
      </c>
      <c r="H83" s="5">
        <f>B83-C83+D83+E83+F83-G83</f>
        <v/>
      </c>
      <c r="I83" s="5">
        <f>IF(A83=0,($B$6*$B$8+$B$19+$B$29*$B$31)*(1+taux_taxes),IF(A83=$B$15,$B$6*$B$52*(1+taux_taxes),0))</f>
        <v/>
      </c>
      <c r="J83" s="5">
        <f>IF(A83=0,0,($B$6*$B$7*$B$9+$B$18*$B$20+$B$29*$B$30*$B$32)/100*prix_diesel*(1+g_diesel)^A83)</f>
        <v/>
      </c>
      <c r="K83" s="5">
        <f>IF(A83=0,0,($B$6*$B$7*$B$10+$B$18*$B$21+$B$29*$B$30*$B$33)*(1+g_entretien)^A83)</f>
        <v/>
      </c>
      <c r="L83" s="5">
        <f>IF(A83=$B$15,$B$6*$B$54,IF(A83=$B$4,$B$6*$B$56+$B$58+$B$29*$B$60,0))</f>
        <v/>
      </c>
      <c r="M83" s="5">
        <f>I83+J83+K83-L83</f>
        <v/>
      </c>
      <c r="N83" s="5">
        <f>M83-H83</f>
        <v/>
      </c>
      <c r="O83" s="5">
        <f>1/(1+taux_r)^A83</f>
        <v/>
      </c>
      <c r="P83" s="5">
        <f>H83*O83</f>
        <v/>
      </c>
      <c r="Q83" s="5">
        <f>M83*O83</f>
        <v/>
      </c>
      <c r="R83" s="5">
        <f>R82+N83</f>
        <v/>
      </c>
      <c r="S83" s="5">
        <f>S82+N83*O83</f>
        <v/>
      </c>
      <c r="T83" s="5">
        <f>IF(A83=0,0,($B$6*$B$7+$B$18+$B$29*$B$30)*O83)</f>
        <v/>
      </c>
      <c r="U83" s="6">
        <f>IF(R83&gt;=0,A83,"")</f>
        <v/>
      </c>
      <c r="V83" s="6">
        <f>IF(S83&gt;=0,A83,"")</f>
        <v/>
      </c>
      <c r="W83" s="6">
        <f>IF(A83=0,0,(($B$6*$B$7*$B$9+$B$18*$B$20)*fe_leger+$B$29*$B$30*$B$32*fe_lourd)/100/1000)</f>
        <v/>
      </c>
      <c r="X83" s="6">
        <f>W83*ratio_wtw</f>
        <v/>
      </c>
      <c r="Y83" s="6">
        <f>IF(A83=0,0,$B$50*fe_elec/1000000)</f>
        <v/>
      </c>
    </row>
    <row r="84">
      <c r="A84">
        <f>A83+1</f>
        <v/>
      </c>
      <c r="B84" s="5">
        <f>IF(A84=0,($B$6*$B$11+$B$22+$B$29*$B$34+$B$44)*(1+taux_taxes),IF(A84=$B$15,$B$6*$B$51*(1+taux_taxes),0))</f>
        <v/>
      </c>
      <c r="C84" s="5">
        <f>IF(A84=0,$B$6*$B$14,IF(A84=1,$B$25+$B$29*$B$37,0))</f>
        <v/>
      </c>
      <c r="D84" s="5">
        <f>IF(A84=0,0,$B$50*prix_elec*(1+g_elec)^A84)</f>
        <v/>
      </c>
      <c r="E84" s="5">
        <f>IF(A84=0,0,($B$6*$B$7*$B$13+$B$18*$B$24+$B$29*$B$30*$B$36)*(1+g_entretien)^A84)</f>
        <v/>
      </c>
      <c r="F84" s="5">
        <f>IF(A84=0,0,infra_entretien_pct*$B$44*(1+g_entretien)^A84)</f>
        <v/>
      </c>
      <c r="G84" s="5">
        <f>IF(A84=$B$15,$B$6*$B$53,IF(A84=$B$4,$B$6*$B$55+$B$57+$B$29*$B$59+$B$61,0))</f>
        <v/>
      </c>
      <c r="H84" s="5">
        <f>B84-C84+D84+E84+F84-G84</f>
        <v/>
      </c>
      <c r="I84" s="5">
        <f>IF(A84=0,($B$6*$B$8+$B$19+$B$29*$B$31)*(1+taux_taxes),IF(A84=$B$15,$B$6*$B$52*(1+taux_taxes),0))</f>
        <v/>
      </c>
      <c r="J84" s="5">
        <f>IF(A84=0,0,($B$6*$B$7*$B$9+$B$18*$B$20+$B$29*$B$30*$B$32)/100*prix_diesel*(1+g_diesel)^A84)</f>
        <v/>
      </c>
      <c r="K84" s="5">
        <f>IF(A84=0,0,($B$6*$B$7*$B$10+$B$18*$B$21+$B$29*$B$30*$B$33)*(1+g_entretien)^A84)</f>
        <v/>
      </c>
      <c r="L84" s="5">
        <f>IF(A84=$B$15,$B$6*$B$54,IF(A84=$B$4,$B$6*$B$56+$B$58+$B$29*$B$60,0))</f>
        <v/>
      </c>
      <c r="M84" s="5">
        <f>I84+J84+K84-L84</f>
        <v/>
      </c>
      <c r="N84" s="5">
        <f>M84-H84</f>
        <v/>
      </c>
      <c r="O84" s="5">
        <f>1/(1+taux_r)^A84</f>
        <v/>
      </c>
      <c r="P84" s="5">
        <f>H84*O84</f>
        <v/>
      </c>
      <c r="Q84" s="5">
        <f>M84*O84</f>
        <v/>
      </c>
      <c r="R84" s="5">
        <f>R83+N84</f>
        <v/>
      </c>
      <c r="S84" s="5">
        <f>S83+N84*O84</f>
        <v/>
      </c>
      <c r="T84" s="5">
        <f>IF(A84=0,0,($B$6*$B$7+$B$18+$B$29*$B$30)*O84)</f>
        <v/>
      </c>
      <c r="U84" s="6">
        <f>IF(R84&gt;=0,A84,"")</f>
        <v/>
      </c>
      <c r="V84" s="6">
        <f>IF(S84&gt;=0,A84,"")</f>
        <v/>
      </c>
      <c r="W84" s="6">
        <f>IF(A84=0,0,(($B$6*$B$7*$B$9+$B$18*$B$20)*fe_leger+$B$29*$B$30*$B$32*fe_lourd)/100/1000)</f>
        <v/>
      </c>
      <c r="X84" s="6">
        <f>W84*ratio_wtw</f>
        <v/>
      </c>
      <c r="Y84" s="6">
        <f>IF(A84=0,0,$B$50*fe_elec/1000000)</f>
        <v/>
      </c>
    </row>
    <row r="85">
      <c r="A85">
        <f>A84+1</f>
        <v/>
      </c>
      <c r="B85" s="5">
        <f>IF(A85=0,($B$6*$B$11+$B$22+$B$29*$B$34+$B$44)*(1+taux_taxes),IF(A85=$B$15,$B$6*$B$51*(1+taux_taxes),0))</f>
        <v/>
      </c>
      <c r="C85" s="5">
        <f>IF(A85=0,$B$6*$B$14,IF(A85=1,$B$25+$B$29*$B$37,0))</f>
        <v/>
      </c>
      <c r="D85" s="5">
        <f>IF(A85=0,0,$B$50*prix_elec*(1+g_elec)^A85)</f>
        <v/>
      </c>
      <c r="E85" s="5">
        <f>IF(A85=0,0,($B$6*$B$7*$B$13+$B$18*$B$24+$B$29*$B$30*$B$36)*(1+g_entretien)^A85)</f>
        <v/>
      </c>
      <c r="F85" s="5">
        <f>IF(A85=0,0,infra_entretien_pct*$B$44*(1+g_entretien)^A85)</f>
        <v/>
      </c>
      <c r="G85" s="5">
        <f>IF(A85=$B$15,$B$6*$B$53,IF(A85=$B$4,$B$6*$B$55+$B$57+$B$29*$B$59+$B$61,0))</f>
        <v/>
      </c>
      <c r="H85" s="5">
        <f>B85-C85+D85+E85+F85-G85</f>
        <v/>
      </c>
      <c r="I85" s="5">
        <f>IF(A85=0,($B$6*$B$8+$B$19+$B$29*$B$31)*(1+taux_taxes),IF(A85=$B$15,$B$6*$B$52*(1+taux_taxes),0))</f>
        <v/>
      </c>
      <c r="J85" s="5">
        <f>IF(A85=0,0,($B$6*$B$7*$B$9+$B$18*$B$20+$B$29*$B$30*$B$32)/100*prix_diesel*(1+g_diesel)^A85)</f>
        <v/>
      </c>
      <c r="K85" s="5">
        <f>IF(A85=0,0,($B$6*$B$7*$B$10+$B$18*$B$21+$B$29*$B$30*$B$33)*(1+g_entretien)^A85)</f>
        <v/>
      </c>
      <c r="L85" s="5">
        <f>IF(A85=$B$15,$B$6*$B$54,IF(A85=$B$4,$B$6*$B$56+$B$58+$B$29*$B$60,0))</f>
        <v/>
      </c>
      <c r="M85" s="5">
        <f>I85+J85+K85-L85</f>
        <v/>
      </c>
      <c r="N85" s="5">
        <f>M85-H85</f>
        <v/>
      </c>
      <c r="O85" s="5">
        <f>1/(1+taux_r)^A85</f>
        <v/>
      </c>
      <c r="P85" s="5">
        <f>H85*O85</f>
        <v/>
      </c>
      <c r="Q85" s="5">
        <f>M85*O85</f>
        <v/>
      </c>
      <c r="R85" s="5">
        <f>R84+N85</f>
        <v/>
      </c>
      <c r="S85" s="5">
        <f>S84+N85*O85</f>
        <v/>
      </c>
      <c r="T85" s="5">
        <f>IF(A85=0,0,($B$6*$B$7+$B$18+$B$29*$B$30)*O85)</f>
        <v/>
      </c>
      <c r="U85" s="6">
        <f>IF(R85&gt;=0,A85,"")</f>
        <v/>
      </c>
      <c r="V85" s="6">
        <f>IF(S85&gt;=0,A85,"")</f>
        <v/>
      </c>
      <c r="W85" s="6">
        <f>IF(A85=0,0,(($B$6*$B$7*$B$9+$B$18*$B$20)*fe_leger+$B$29*$B$30*$B$32*fe_lourd)/100/1000)</f>
        <v/>
      </c>
      <c r="X85" s="6">
        <f>W85*ratio_wtw</f>
        <v/>
      </c>
      <c r="Y85" s="6">
        <f>IF(A85=0,0,$B$50*fe_elec/1000000)</f>
        <v/>
      </c>
    </row>
    <row r="86">
      <c r="A86">
        <f>A85+1</f>
        <v/>
      </c>
      <c r="B86" s="5">
        <f>IF(A86=0,($B$6*$B$11+$B$22+$B$29*$B$34+$B$44)*(1+taux_taxes),IF(A86=$B$15,$B$6*$B$51*(1+taux_taxes),0))</f>
        <v/>
      </c>
      <c r="C86" s="5">
        <f>IF(A86=0,$B$6*$B$14,IF(A86=1,$B$25+$B$29*$B$37,0))</f>
        <v/>
      </c>
      <c r="D86" s="5">
        <f>IF(A86=0,0,$B$50*prix_elec*(1+g_elec)^A86)</f>
        <v/>
      </c>
      <c r="E86" s="5">
        <f>IF(A86=0,0,($B$6*$B$7*$B$13+$B$18*$B$24+$B$29*$B$30*$B$36)*(1+g_entretien)^A86)</f>
        <v/>
      </c>
      <c r="F86" s="5">
        <f>IF(A86=0,0,infra_entretien_pct*$B$44*(1+g_entretien)^A86)</f>
        <v/>
      </c>
      <c r="G86" s="5">
        <f>IF(A86=$B$15,$B$6*$B$53,IF(A86=$B$4,$B$6*$B$55+$B$57+$B$29*$B$59+$B$61,0))</f>
        <v/>
      </c>
      <c r="H86" s="5">
        <f>B86-C86+D86+E86+F86-G86</f>
        <v/>
      </c>
      <c r="I86" s="5">
        <f>IF(A86=0,($B$6*$B$8+$B$19+$B$29*$B$31)*(1+taux_taxes),IF(A86=$B$15,$B$6*$B$52*(1+taux_taxes),0))</f>
        <v/>
      </c>
      <c r="J86" s="5">
        <f>IF(A86=0,0,($B$6*$B$7*$B$9+$B$18*$B$20+$B$29*$B$30*$B$32)/100*prix_diesel*(1+g_diesel)^A86)</f>
        <v/>
      </c>
      <c r="K86" s="5">
        <f>IF(A86=0,0,($B$6*$B$7*$B$10+$B$18*$B$21+$B$29*$B$30*$B$33)*(1+g_entretien)^A86)</f>
        <v/>
      </c>
      <c r="L86" s="5">
        <f>IF(A86=$B$15,$B$6*$B$54,IF(A86=$B$4,$B$6*$B$56+$B$58+$B$29*$B$60,0))</f>
        <v/>
      </c>
      <c r="M86" s="5">
        <f>I86+J86+K86-L86</f>
        <v/>
      </c>
      <c r="N86" s="5">
        <f>M86-H86</f>
        <v/>
      </c>
      <c r="O86" s="5">
        <f>1/(1+taux_r)^A86</f>
        <v/>
      </c>
      <c r="P86" s="5">
        <f>H86*O86</f>
        <v/>
      </c>
      <c r="Q86" s="5">
        <f>M86*O86</f>
        <v/>
      </c>
      <c r="R86" s="5">
        <f>R85+N86</f>
        <v/>
      </c>
      <c r="S86" s="5">
        <f>S85+N86*O86</f>
        <v/>
      </c>
      <c r="T86" s="5">
        <f>IF(A86=0,0,($B$6*$B$7+$B$18+$B$29*$B$30)*O86)</f>
        <v/>
      </c>
      <c r="U86" s="6">
        <f>IF(R86&gt;=0,A86,"")</f>
        <v/>
      </c>
      <c r="V86" s="6">
        <f>IF(S86&gt;=0,A86,"")</f>
        <v/>
      </c>
      <c r="W86" s="6">
        <f>IF(A86=0,0,(($B$6*$B$7*$B$9+$B$18*$B$20)*fe_leger+$B$29*$B$30*$B$32*fe_lourd)/100/1000)</f>
        <v/>
      </c>
      <c r="X86" s="6">
        <f>W86*ratio_wtw</f>
        <v/>
      </c>
      <c r="Y86" s="6">
        <f>IF(A86=0,0,$B$50*fe_elec/1000000)</f>
        <v/>
      </c>
    </row>
    <row r="88">
      <c r="A88" s="2" t="inlineStr">
        <is>
          <t>Résultats (formules)</t>
        </is>
      </c>
    </row>
    <row r="89">
      <c r="A89" s="2" t="inlineStr">
        <is>
          <t>TCO actualisé — alternative ($)</t>
        </is>
      </c>
      <c r="B89" s="4">
        <f>SUM(P74:P86)</f>
        <v/>
      </c>
    </row>
    <row r="90">
      <c r="A90" s="2" t="inlineStr">
        <is>
          <t>TCO actualisé — référence ($)</t>
        </is>
      </c>
      <c r="B90" s="4">
        <f>SUM(Q74:Q86)</f>
        <v/>
      </c>
    </row>
    <row r="91">
      <c r="A91" s="2" t="inlineStr">
        <is>
          <t>VAN différentielle réf − alt ($)</t>
        </is>
      </c>
      <c r="B91" s="4">
        <f>B90-B89</f>
        <v/>
      </c>
    </row>
    <row r="92">
      <c r="A92" s="2" t="inlineStr">
        <is>
          <t>km actualisés</t>
        </is>
      </c>
      <c r="B92" s="4">
        <f>SUM(T74:T86)</f>
        <v/>
      </c>
    </row>
    <row r="93">
      <c r="A93" s="2" t="inlineStr">
        <is>
          <t>TCO/km actualisé — alternative ($/km)</t>
        </is>
      </c>
      <c r="B93" s="4">
        <f>B89/B92</f>
        <v/>
      </c>
    </row>
    <row r="94">
      <c r="A94" s="2" t="inlineStr">
        <is>
          <t>TCO/km actualisé — référence ($/km)</t>
        </is>
      </c>
      <c r="B94" s="4">
        <f>B90/B92</f>
        <v/>
      </c>
    </row>
    <row r="95">
      <c r="A95" s="2" t="inlineStr">
        <is>
          <t>Délai de récupération simple (années)</t>
        </is>
      </c>
      <c r="B95" s="4">
        <f>IF(COUNT(U74:U86)=0,"null : jamais atteint sur l'horizon",MIN(U74:U86))</f>
        <v/>
      </c>
    </row>
    <row r="96">
      <c r="A96" s="2" t="inlineStr">
        <is>
          <t>Délai de récupération actualisé (années)</t>
        </is>
      </c>
      <c r="B96" s="4">
        <f>IF(COUNT(V74:V86)=0,"null : jamais atteint sur l'horizon",MIN(V74:V86))</f>
        <v/>
      </c>
    </row>
    <row r="97">
      <c r="A97" s="2" t="inlineStr">
        <is>
          <t>CO2e évité cumulé TTW (t)</t>
        </is>
      </c>
      <c r="B97" s="4">
        <f>SUM(W74:W86)</f>
        <v/>
      </c>
    </row>
    <row r="98">
      <c r="A98" s="2" t="inlineStr">
        <is>
          <t>CO2e évité cumulé WTW (t)</t>
        </is>
      </c>
      <c r="B98" s="4">
        <f>SUM(X74:X86)-SUM(Y74:Y86)</f>
        <v/>
      </c>
    </row>
    <row r="99">
      <c r="A99" s="2" t="inlineStr">
        <is>
          <t>Coût (+) ou gain (−) par tonne WTW évitée ($/t)</t>
        </is>
      </c>
      <c r="B99" s="4">
        <f>(B89-B90)/B98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2026-09-28T02:47:14Z</dcterms:created>
  <dcterms:modified xsi:type="dcterms:W3CDTF">2026-09-28T02:47:15Z</dcterms:modified>
</cp:coreProperties>
</file>