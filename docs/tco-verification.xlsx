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ypothèses" sheetId="1" state="visible" r:id="rId1"/>
    <sheet name="Cas 1" sheetId="2" state="visible" r:id="rId2"/>
    <sheet name="Cas 2" sheetId="3" state="visible" r:id="rId3"/>
    <sheet name="Cas 3" sheetId="4" state="visible" r:id="rId4"/>
    <sheet name="Cas 4" sheetId="5" state="visible" r:id="rId5"/>
    <sheet name="Cas 5" sheetId="6" state="visible" r:id="rId6"/>
    <sheet name="Cas 6" sheetId="7" state="visible" r:id="rId7"/>
    <sheet name="Cas 7" sheetId="8" state="visible" r:id="rId8"/>
  </sheets>
  <definedNames>
    <definedName name="taux_r">'Hypothèses'!$C$5</definedName>
    <definedName name="g_diesel">'Hypothèses'!$C$6</definedName>
    <definedName name="g_elec">'Hypothèses'!$C$7</definedName>
    <definedName name="g_h2">'Hypothèses'!$C$8</definedName>
    <definedName name="g_entretien">'Hypothèses'!$C$9</definedName>
    <definedName name="g_general">'Hypothèses'!$C$10</definedName>
    <definedName name="prix_diesel">'Hypothèses'!$C$11</definedName>
    <definedName name="prix_elec">'Hypothèses'!$C$12</definedName>
    <definedName name="prix_h2">'Hypothèses'!$C$13</definedName>
    <definedName name="rendement">'Hypothèses'!$C$14</definedName>
    <definedName name="maj_annualisee">'Hypothèses'!$C$15</definedName>
    <definedName name="fact_hiver">'Hypothèses'!$C$16</definedName>
    <definedName name="taux_taxes">'Hypothèses'!$C$17</definedName>
    <definedName name="d_diesel">'Hypothèses'!$C$18</definedName>
    <definedName name="d_bev">'Hypothèses'!$C$19</definedName>
    <definedName name="d_fcev">'Hypothèses'!$C$20</definedName>
    <definedName name="plancher_vr">'Hypothèses'!$C$21</definedName>
    <definedName name="infra_entretien_pct">'Hypothèses'!$C$22</definedName>
    <definedName name="duree_vie_infra">'Hypothèses'!$C$23</definedName>
    <definedName name="fe_leger">'Hypothèses'!$C$24</definedName>
    <definedName name="fe_lourd">'Hypothèses'!$C$25</definedName>
    <definedName name="ratio_wtw">'Hypothèses'!$C$26</definedName>
    <definedName name="fe_elec">'Hypothèses'!$C$27</definedName>
    <definedName name="fe_h2">'Hypothèses'!$C$28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00"/>
  </numFmts>
  <fonts count="3">
    <font>
      <name val="Calibri"/>
      <family val="2"/>
      <color theme="1"/>
      <sz val="11"/>
      <scheme val="minor"/>
    </font>
    <font>
      <b val="1"/>
      <sz val="13"/>
    </font>
    <font>
      <b val="1"/>
    </font>
  </fonts>
  <fills count="5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DDEBF7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2" borderId="0" pivotButton="0" quotePrefix="0" xfId="0"/>
    <xf numFmtId="0" fontId="0" fillId="3" borderId="0" pivotButton="0" quotePrefix="0" xfId="0"/>
    <xf numFmtId="4" fontId="0" fillId="3" borderId="0" pivotButton="0" quotePrefix="0" xfId="0"/>
    <xf numFmtId="164" fontId="0" fillId="3" borderId="0" pivotButton="0" quotePrefix="0" xfId="0"/>
    <xf numFmtId="0" fontId="0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selection activeCell="A1" sqref="A1"/>
    </sheetView>
  </sheetViews>
  <sheetFormatPr baseColWidth="8" defaultRowHeight="15"/>
  <cols>
    <col width="22" customWidth="1" min="1" max="1"/>
    <col width="84" customWidth="1" min="2" max="2"/>
    <col width="22" customWidth="1" min="3" max="3"/>
    <col width="14" customWidth="1" min="4" max="4"/>
  </cols>
  <sheetData>
    <row r="1">
      <c r="A1" s="1" t="inlineStr">
        <is>
          <t>Hypothèses communes — scénario Central, CAD courants, année de référence 2026, municipalité</t>
        </is>
      </c>
    </row>
    <row r="2">
      <c r="A2" t="inlineStr">
        <is>
          <t>GÉNÉRÉES depuis docs/tco-cas-de-reference.json (lui-même généré depuis scripts/reference-cases/cas-definitions.mjs, testé identique à src/lib/tco/assumptions.ts) — ne pas éditer à la main.</t>
        </is>
      </c>
    </row>
    <row r="4">
      <c r="A4" s="2" t="inlineStr">
        <is>
          <t>Nom</t>
        </is>
      </c>
      <c r="B4" s="2" t="inlineStr">
        <is>
          <t>Description</t>
        </is>
      </c>
      <c r="C4" s="2" t="inlineStr">
        <is>
          <t>Valeur</t>
        </is>
      </c>
      <c r="D4" s="2" t="inlineStr">
        <is>
          <t>Unité</t>
        </is>
      </c>
    </row>
    <row r="5">
      <c r="A5" t="inlineStr">
        <is>
          <t>taux_r</t>
        </is>
      </c>
      <c r="B5" t="inlineStr">
        <is>
          <t>Taux d'actualisation nominal r</t>
        </is>
      </c>
      <c r="C5" s="3" t="n">
        <v>0.05</v>
      </c>
      <c r="D5" t="inlineStr">
        <is>
          <t>décimal</t>
        </is>
      </c>
    </row>
    <row r="6">
      <c r="A6" t="inlineStr">
        <is>
          <t>g_diesel</t>
        </is>
      </c>
      <c r="B6" t="inlineStr">
        <is>
          <t>Inflation diesel</t>
        </is>
      </c>
      <c r="C6" s="3" t="n">
        <v>0.03</v>
      </c>
      <c r="D6" t="inlineStr">
        <is>
          <t>décimal</t>
        </is>
      </c>
    </row>
    <row r="7">
      <c r="A7" t="inlineStr">
        <is>
          <t>g_elec</t>
        </is>
      </c>
      <c r="B7" t="inlineStr">
        <is>
          <t>Inflation électricité</t>
        </is>
      </c>
      <c r="C7" s="3" t="n">
        <v>0.035</v>
      </c>
      <c r="D7" t="inlineStr">
        <is>
          <t>décimal</t>
        </is>
      </c>
    </row>
    <row r="8">
      <c r="A8" t="inlineStr">
        <is>
          <t>g_h2</t>
        </is>
      </c>
      <c r="B8" t="inlineStr">
        <is>
          <t>Inflation hydrogène</t>
        </is>
      </c>
      <c r="C8" s="3" t="n">
        <v>0</v>
      </c>
      <c r="D8" t="inlineStr">
        <is>
          <t>décimal</t>
        </is>
      </c>
    </row>
    <row r="9">
      <c r="A9" t="inlineStr">
        <is>
          <t>g_entretien</t>
        </is>
      </c>
      <c r="B9" t="inlineStr">
        <is>
          <t>Inflation entretien</t>
        </is>
      </c>
      <c r="C9" s="3" t="n">
        <v>0.025</v>
      </c>
      <c r="D9" t="inlineStr">
        <is>
          <t>décimal</t>
        </is>
      </c>
    </row>
    <row r="10">
      <c r="A10" t="inlineStr">
        <is>
          <t>g_general</t>
        </is>
      </c>
      <c r="B10" t="inlineStr">
        <is>
          <t>Inflation générale</t>
        </is>
      </c>
      <c r="C10" s="3" t="n">
        <v>0.021</v>
      </c>
      <c r="D10" t="inlineStr">
        <is>
          <t>décimal</t>
        </is>
      </c>
    </row>
    <row r="11">
      <c r="A11" t="inlineStr">
        <is>
          <t>prix_diesel</t>
        </is>
      </c>
      <c r="B11" t="inlineStr">
        <is>
          <t>Prix diesel année 0 (AVANT TPS/TVQ, accises comprises — moyenne 12 mois StatCan)</t>
        </is>
      </c>
      <c r="C11" s="3" t="n">
        <v>1.8179</v>
      </c>
      <c r="D11" t="inlineStr">
        <is>
          <t>$/L</t>
        </is>
      </c>
    </row>
    <row r="12">
      <c r="A12" t="inlineStr">
        <is>
          <t>prix_elec</t>
        </is>
      </c>
      <c r="B12" t="inlineStr">
        <is>
          <t>Prix électricité effectif au compteur, année 0 (avant taxes)</t>
        </is>
      </c>
      <c r="C12" s="3" t="n">
        <v>0.1</v>
      </c>
      <c r="D12" t="inlineStr">
        <is>
          <t>$/kWh</t>
        </is>
      </c>
    </row>
    <row r="13">
      <c r="A13" t="inlineStr">
        <is>
          <t>prix_h2</t>
        </is>
      </c>
      <c r="B13" t="inlineStr">
        <is>
          <t>Prix H2 livré, année 0 (avant taxes)</t>
        </is>
      </c>
      <c r="C13" s="3" t="n">
        <v>16.5</v>
      </c>
      <c r="D13" t="inlineStr">
        <is>
          <t>$/kg</t>
        </is>
      </c>
    </row>
    <row r="14">
      <c r="A14" t="inlineStr">
        <is>
          <t>rendement</t>
        </is>
      </c>
      <c r="B14" t="inlineStr">
        <is>
          <t>Rendement de recharge (kWh véhicule / kWh compteur)</t>
        </is>
      </c>
      <c r="C14" s="3" t="n">
        <v>0.9</v>
      </c>
      <c r="D14" t="inlineStr">
        <is>
          <t>ratio</t>
        </is>
      </c>
    </row>
    <row r="15">
      <c r="A15" t="inlineStr">
        <is>
          <t>maj_annualisee</t>
        </is>
      </c>
      <c r="B15" t="inlineStr">
        <is>
          <t>Majoration hivernale ANNUALISÉE (majoration x part des km d'hiver)</t>
        </is>
      </c>
      <c r="C15" s="3" t="n">
        <v>0.0825</v>
      </c>
      <c r="D15" t="inlineStr">
        <is>
          <t>ratio</t>
        </is>
      </c>
    </row>
    <row r="16">
      <c r="A16" t="inlineStr">
        <is>
          <t>fact_hiver</t>
        </is>
      </c>
      <c r="B16" t="inlineStr">
        <is>
          <t>Facteur hivernal = 1 + majoration annualisée</t>
        </is>
      </c>
      <c r="C16" s="4">
        <f>1+maj_annualisee</f>
        <v/>
      </c>
      <c r="D16" t="inlineStr">
        <is>
          <t>ratio</t>
        </is>
      </c>
    </row>
    <row r="17">
      <c r="A17" t="inlineStr">
        <is>
          <t>taux_taxes</t>
        </is>
      </c>
      <c r="B17" t="inlineStr">
        <is>
          <t>Taxes non récupérables (municipalité : TPS remboursée 100 %, TVQ à 50 % — §3.1 v2.2, appliquées SYMÉTRIQUEMENT à tous les postes)</t>
        </is>
      </c>
      <c r="C17" s="3" t="n">
        <v>0.049875</v>
      </c>
      <c r="D17" t="inlineStr">
        <is>
          <t>décimal</t>
        </is>
      </c>
    </row>
    <row r="18">
      <c r="A18" t="inlineStr">
        <is>
          <t>d_diesel</t>
        </is>
      </c>
      <c r="B18" t="inlineStr">
        <is>
          <t>Dépréciation annuelle diesel</t>
        </is>
      </c>
      <c r="C18" s="3" t="n">
        <v>0.15</v>
      </c>
      <c r="D18" t="inlineStr">
        <is>
          <t>décimal</t>
        </is>
      </c>
    </row>
    <row r="19">
      <c r="A19" t="inlineStr">
        <is>
          <t>d_bev</t>
        </is>
      </c>
      <c r="B19" t="inlineStr">
        <is>
          <t>Dépréciation annuelle BEV</t>
        </is>
      </c>
      <c r="C19" s="3" t="n">
        <v>0.18</v>
      </c>
      <c r="D19" t="inlineStr">
        <is>
          <t>décimal</t>
        </is>
      </c>
    </row>
    <row r="20">
      <c r="A20" t="inlineStr">
        <is>
          <t>d_fcev</t>
        </is>
      </c>
      <c r="B20" t="inlineStr">
        <is>
          <t>Dépréciation annuelle FCEV</t>
        </is>
      </c>
      <c r="C20" s="3" t="n">
        <v>0.2</v>
      </c>
      <c r="D20" t="inlineStr">
        <is>
          <t>décimal</t>
        </is>
      </c>
    </row>
    <row r="21">
      <c r="A21" t="inlineStr">
        <is>
          <t>plancher_vr</t>
        </is>
      </c>
      <c r="B21" t="inlineStr">
        <is>
          <t>Plancher de valeur résiduelle</t>
        </is>
      </c>
      <c r="C21" s="3" t="n">
        <v>0.1</v>
      </c>
      <c r="D21" t="inlineStr">
        <is>
          <t>ratio</t>
        </is>
      </c>
    </row>
    <row r="22">
      <c r="A22" t="inlineStr">
        <is>
          <t>infra_entretien_pct</t>
        </is>
      </c>
      <c r="B22" t="inlineStr">
        <is>
          <t>Entretien infra annuel (part du capex avant taxes)</t>
        </is>
      </c>
      <c r="C22" s="3" t="n">
        <v>0.03</v>
      </c>
      <c r="D22" t="inlineStr">
        <is>
          <t>ratio</t>
        </is>
      </c>
    </row>
    <row r="23">
      <c r="A23" t="inlineStr">
        <is>
          <t>duree_vie_infra</t>
        </is>
      </c>
      <c r="B23" t="inlineStr">
        <is>
          <t>Durée de vie de l'infrastructure</t>
        </is>
      </c>
      <c r="C23" s="3" t="n">
        <v>15</v>
      </c>
      <c r="D23" t="inlineStr">
        <is>
          <t>années</t>
        </is>
      </c>
    </row>
    <row r="24">
      <c r="A24" t="inlineStr">
        <is>
          <t>fe_leger</t>
        </is>
      </c>
      <c r="B24" t="inlineStr">
        <is>
          <t>FE diesel TTW — véhicules légers/camionnettes</t>
        </is>
      </c>
      <c r="C24" s="3" t="n">
        <v>2.741</v>
      </c>
      <c r="D24" t="inlineStr">
        <is>
          <t>kg CO2e/L</t>
        </is>
      </c>
    </row>
    <row r="25">
      <c r="A25" t="inlineStr">
        <is>
          <t>fe_lourd</t>
        </is>
      </c>
      <c r="B25" t="inlineStr">
        <is>
          <t>FE diesel TTW — camions moyens/lourds, autobus</t>
        </is>
      </c>
      <c r="C25" s="3" t="n">
        <v>2.724</v>
      </c>
      <c r="D25" t="inlineStr">
        <is>
          <t>kg CO2e/L</t>
        </is>
      </c>
    </row>
    <row r="26">
      <c r="A26" t="inlineStr">
        <is>
          <t>ratio_wtw</t>
        </is>
      </c>
      <c r="B26" t="inlineStr">
        <is>
          <t>WTW diesel = TTW x ratio</t>
        </is>
      </c>
      <c r="C26" s="3" t="n">
        <v>1.25</v>
      </c>
      <c r="D26" t="inlineStr">
        <is>
          <t>ratio</t>
        </is>
      </c>
    </row>
    <row r="27">
      <c r="A27" t="inlineStr">
        <is>
          <t>fe_elec</t>
        </is>
      </c>
      <c r="B27" t="inlineStr">
        <is>
          <t>FE électricité QC (WTW, au compteur)</t>
        </is>
      </c>
      <c r="C27" s="3" t="n">
        <v>1.2</v>
      </c>
      <c r="D27" t="inlineStr">
        <is>
          <t>g CO2e/kWh</t>
        </is>
      </c>
    </row>
    <row r="28">
      <c r="A28" t="inlineStr">
        <is>
          <t>fe_h2</t>
        </is>
      </c>
      <c r="B28" t="inlineStr">
        <is>
          <t>FE H2 électrolyse QC (WTW)</t>
        </is>
      </c>
      <c r="C28" s="3" t="n">
        <v>1</v>
      </c>
      <c r="D28" t="inlineStr">
        <is>
          <t>kg CO2e/kg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52"/>
  <sheetViews>
    <sheetView workbookViewId="0">
      <selection activeCell="A1" sqref="A1"/>
    </sheetView>
  </sheetViews>
  <sheetFormatPr baseColWidth="8" defaultRowHeight="15"/>
  <cols>
    <col width="4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</cols>
  <sheetData>
    <row r="1">
      <c r="A1" s="1" t="inlineStr">
        <is>
          <t>Cas 1 — Camionnette de service BEV</t>
        </is>
      </c>
    </row>
    <row r="3">
      <c r="A3" s="2" t="inlineStr">
        <is>
          <t>Entrées du cas (constantes, depuis docs/tco-cas-de-reference.json)</t>
        </is>
      </c>
    </row>
    <row r="4">
      <c r="A4" t="inlineStr">
        <is>
          <t>Horizon H (années)</t>
        </is>
      </c>
      <c r="B4" s="3" t="n">
        <v>10</v>
      </c>
      <c r="C4" t="inlineStr">
        <is>
          <t>ans</t>
        </is>
      </c>
    </row>
    <row r="5">
      <c r="A5" t="inlineStr">
        <is>
          <t>Kilométrage annuel</t>
        </is>
      </c>
      <c r="B5" s="3" t="n">
        <v>30000</v>
      </c>
      <c r="C5" t="inlineStr">
        <is>
          <t>km/an</t>
        </is>
      </c>
    </row>
    <row r="6">
      <c r="A6" t="inlineStr">
        <is>
          <t>Prix réf (diesel) avant taxes</t>
        </is>
      </c>
      <c r="B6" s="3" t="n">
        <v>68000</v>
      </c>
      <c r="C6" t="inlineStr">
        <is>
          <t>$</t>
        </is>
      </c>
    </row>
    <row r="7">
      <c r="A7" t="inlineStr">
        <is>
          <t>Conso réf</t>
        </is>
      </c>
      <c r="B7" s="3" t="n">
        <v>15</v>
      </c>
      <c r="C7" t="inlineStr">
        <is>
          <t>L/100 km</t>
        </is>
      </c>
    </row>
    <row r="8">
      <c r="A8" t="inlineStr">
        <is>
          <t>Entretien réf</t>
        </is>
      </c>
      <c r="B8" s="3" t="n">
        <v>0.14</v>
      </c>
      <c r="C8" t="inlineStr">
        <is>
          <t>$/km</t>
        </is>
      </c>
    </row>
    <row r="9">
      <c r="A9" t="inlineStr">
        <is>
          <t>Prix alt avant taxes</t>
        </is>
      </c>
      <c r="B9" s="3" t="n">
        <v>95000</v>
      </c>
      <c r="C9" t="inlineStr">
        <is>
          <t>$</t>
        </is>
      </c>
    </row>
    <row r="10">
      <c r="A10" t="inlineStr">
        <is>
          <t>Conso alt (nominale tempérée)</t>
        </is>
      </c>
      <c r="B10" s="3" t="n">
        <v>32</v>
      </c>
      <c r="C10" t="inlineStr">
        <is>
          <t>kWh/100 km</t>
        </is>
      </c>
    </row>
    <row r="11">
      <c r="A11" t="inlineStr">
        <is>
          <t>Entretien alt</t>
        </is>
      </c>
      <c r="B11" s="3" t="n">
        <v>0.1</v>
      </c>
      <c r="C11" t="inlineStr">
        <is>
          <t>$/km</t>
        </is>
      </c>
    </row>
    <row r="12">
      <c r="A12" t="inlineStr">
        <is>
          <t>Subvention (montant)</t>
        </is>
      </c>
      <c r="B12" s="3" t="n">
        <v>2500</v>
      </c>
      <c r="C12" t="inlineStr">
        <is>
          <t>$</t>
        </is>
      </c>
    </row>
    <row r="13">
      <c r="A13" t="inlineStr">
        <is>
          <t>Subvention (année de versement)</t>
        </is>
      </c>
      <c r="B13" s="3" t="n">
        <v>1</v>
      </c>
      <c r="C13" t="inlineStr">
        <is>
          <t>année</t>
        </is>
      </c>
    </row>
    <row r="14">
      <c r="A14" t="inlineStr">
        <is>
          <t>Infra — capex avant taxes</t>
        </is>
      </c>
      <c r="B14" s="3" t="n">
        <v>15000</v>
      </c>
      <c r="C14" t="inlineStr">
        <is>
          <t>$</t>
        </is>
      </c>
    </row>
    <row r="15">
      <c r="A15" t="inlineStr">
        <is>
          <t>FE diesel TTW (choix catégorie)</t>
        </is>
      </c>
      <c r="B15" s="4">
        <f>fe_leger</f>
        <v/>
      </c>
      <c r="C15" t="inlineStr">
        <is>
          <t>kg CO2e/L</t>
        </is>
      </c>
    </row>
    <row r="17">
      <c r="A17" s="2" t="inlineStr">
        <is>
          <t>Valeurs dérivées (formules)</t>
        </is>
      </c>
    </row>
    <row r="18">
      <c r="A18" t="inlineStr">
        <is>
          <t>Prix réf avec taxes non récupérables</t>
        </is>
      </c>
      <c r="B18" s="4">
        <f>$B$6*(1+taux_taxes)</f>
        <v/>
      </c>
    </row>
    <row r="19">
      <c r="A19" t="inlineStr">
        <is>
          <t>Prix alt avec taxes non récupérables</t>
        </is>
      </c>
      <c r="B19" s="4">
        <f>$B$9*(1+taux_taxes)</f>
        <v/>
      </c>
    </row>
    <row r="20">
      <c r="A20" t="inlineStr">
        <is>
          <t>Infra avec taxes non récupérables</t>
        </is>
      </c>
      <c r="B20" s="4">
        <f>$B$14*(1+taux_taxes)</f>
        <v/>
      </c>
    </row>
    <row r="21">
      <c r="A21" t="inlineStr">
        <is>
          <t>Conso alt facturée (compteur ou pompe) /100 km</t>
        </is>
      </c>
      <c r="B21" s="4">
        <f>$B$10*fact_hiver/rendement</f>
        <v/>
      </c>
    </row>
    <row r="22">
      <c r="A22" t="inlineStr">
        <is>
          <t>VR réf fin d'horizon (avant taxes, nominale, géométrique planchée)</t>
        </is>
      </c>
      <c r="B22" s="4">
        <f>MAX($B$6*(1-d_diesel)^$B$4,plancher_vr*$B$6)</f>
        <v/>
      </c>
    </row>
    <row r="23">
      <c r="A23" t="inlineStr">
        <is>
          <t>VR alt fin d'horizon (avant taxes, nominale, géométrique planchée)</t>
        </is>
      </c>
      <c r="B23" s="4">
        <f>MAX($B$9*(1-d_bev)^$B$4,plancher_vr*$B$9)</f>
        <v/>
      </c>
    </row>
    <row r="24">
      <c r="A24" t="inlineStr">
        <is>
          <t>Année de ré-achat de l'infra (vide si aucun)</t>
        </is>
      </c>
      <c r="B24" s="4">
        <f>IF(AND($B$14&gt;0,$B$4&gt;duree_vie_infra),duree_vie_infra,"")</f>
        <v/>
      </c>
    </row>
    <row r="25">
      <c r="A25" t="inlineStr">
        <is>
          <t>VR infra fin d'horizon (linéaire, dernier équipement, capex indexé)</t>
        </is>
      </c>
      <c r="B25" s="4">
        <f>IF($B$14=0,0,IF($B$4&gt;duree_vie_infra,$B$14*(1+g_general)^duree_vie_infra*(duree_vie_infra-($B$4-duree_vie_infra))/duree_vie_infra,$B$14*(duree_vie_infra-$B$4)/duree_vie_infra))</f>
        <v/>
      </c>
    </row>
    <row r="28">
      <c r="A28" s="2" t="inlineStr">
        <is>
          <t>n</t>
        </is>
      </c>
      <c r="B28" s="2" t="inlineStr">
        <is>
          <t>Acquisition alt</t>
        </is>
      </c>
      <c r="C28" s="2" t="inlineStr">
        <is>
          <t>Subventions</t>
        </is>
      </c>
      <c r="D28" s="2" t="inlineStr">
        <is>
          <t>Énergie alt</t>
        </is>
      </c>
      <c r="E28" s="2" t="inlineStr">
        <is>
          <t>Entretien alt</t>
        </is>
      </c>
      <c r="F28" s="2" t="inlineStr">
        <is>
          <t>Opex infra</t>
        </is>
      </c>
      <c r="G28" s="2" t="inlineStr">
        <is>
          <t>Résiduels alt</t>
        </is>
      </c>
      <c r="H28" s="2" t="inlineStr">
        <is>
          <t>Flux net alt</t>
        </is>
      </c>
      <c r="I28" s="2" t="inlineStr">
        <is>
          <t>Acquisition réf</t>
        </is>
      </c>
      <c r="J28" s="2" t="inlineStr">
        <is>
          <t>Énergie réf</t>
        </is>
      </c>
      <c r="K28" s="2" t="inlineStr">
        <is>
          <t>Entretien réf</t>
        </is>
      </c>
      <c r="L28" s="2" t="inlineStr">
        <is>
          <t>Résiduels réf</t>
        </is>
      </c>
      <c r="M28" s="2" t="inlineStr">
        <is>
          <t>Flux net réf</t>
        </is>
      </c>
      <c r="N28" s="2" t="inlineStr">
        <is>
          <t>Économie nominale</t>
        </is>
      </c>
      <c r="O28" s="2" t="inlineStr">
        <is>
          <t>Facteur actualisation</t>
        </is>
      </c>
      <c r="P28" s="2" t="inlineStr">
        <is>
          <t>Flux act. alt</t>
        </is>
      </c>
      <c r="Q28" s="2" t="inlineStr">
        <is>
          <t>Flux act. réf</t>
        </is>
      </c>
      <c r="R28" s="2" t="inlineStr">
        <is>
          <t>Cumul économie nominale</t>
        </is>
      </c>
      <c r="S28" s="2" t="inlineStr">
        <is>
          <t>Cumul économie actualisée</t>
        </is>
      </c>
      <c r="T28" s="2" t="inlineStr">
        <is>
          <t>km actualisés</t>
        </is>
      </c>
      <c r="U28" s="2" t="inlineStr">
        <is>
          <t>n si cumul nominal &gt;= 0</t>
        </is>
      </c>
      <c r="V28" s="2" t="inlineStr">
        <is>
          <t>n si cumul actualisé &gt;= 0</t>
        </is>
      </c>
      <c r="W28" s="2" t="inlineStr">
        <is>
          <t>TTW réf (t)</t>
        </is>
      </c>
      <c r="X28" s="2" t="inlineStr">
        <is>
          <t>WTW réf (t)</t>
        </is>
      </c>
      <c r="Y28" s="2" t="inlineStr">
        <is>
          <t>WTW alt (t)</t>
        </is>
      </c>
    </row>
    <row r="29">
      <c r="A29" t="n">
        <v>0</v>
      </c>
      <c r="B29" s="5">
        <f>IF(A29=0,$B$19+$B$20,IF(A29=$B$24,$B$14*(1+g_general)^A29*(1+taux_taxes),0))</f>
        <v/>
      </c>
      <c r="C29" s="5">
        <f>IF(A29=$B$13,$B$12,0)</f>
        <v/>
      </c>
      <c r="D29" s="5">
        <f>IF(A29=0,0,$B$5*$B$21/100*prix_elec*(1+g_elec)^A29*(1+taux_taxes))</f>
        <v/>
      </c>
      <c r="E29" s="5">
        <f>IF(A29=0,0,$B$5*$B$11*(1+g_entretien)^A29*(1+taux_taxes))</f>
        <v/>
      </c>
      <c r="F29" s="5">
        <f>IF(A29=0,0,infra_entretien_pct*$B$14*(1+g_entretien)^A29*(1+taux_taxes))</f>
        <v/>
      </c>
      <c r="G29" s="5">
        <f>IF(A29=$B$4,$B$23+$B$25,0)</f>
        <v/>
      </c>
      <c r="H29" s="5">
        <f>B29-C29+D29+E29+F29-G29</f>
        <v/>
      </c>
      <c r="I29" s="5">
        <f>IF(A29=0,$B$18,0)</f>
        <v/>
      </c>
      <c r="J29" s="5">
        <f>IF(A29=0,0,$B$5*$B$7/100*prix_diesel*(1+g_diesel)^A29*(1+taux_taxes))</f>
        <v/>
      </c>
      <c r="K29" s="5">
        <f>IF(A29=0,0,$B$5*$B$8*(1+g_entretien)^A29*(1+taux_taxes))</f>
        <v/>
      </c>
      <c r="L29" s="5">
        <f>IF(A29=$B$4,$B$22,0)</f>
        <v/>
      </c>
      <c r="M29" s="5">
        <f>I29+J29+K29-L29</f>
        <v/>
      </c>
      <c r="N29" s="5">
        <f>M29-H29</f>
        <v/>
      </c>
      <c r="O29" s="5">
        <f>1/(1+taux_r)^A29</f>
        <v/>
      </c>
      <c r="P29" s="5">
        <f>H29*O29</f>
        <v/>
      </c>
      <c r="Q29" s="5">
        <f>M29*O29</f>
        <v/>
      </c>
      <c r="R29" s="5">
        <f>N29</f>
        <v/>
      </c>
      <c r="S29" s="5">
        <f>N29*O29</f>
        <v/>
      </c>
      <c r="T29" s="5">
        <f>IF(A29=0,0,$B$5*O29)</f>
        <v/>
      </c>
      <c r="U29" s="6">
        <f>IF(R29&gt;=0,A29,"")</f>
        <v/>
      </c>
      <c r="V29" s="6">
        <f>IF(S29&gt;=0,A29,"")</f>
        <v/>
      </c>
      <c r="W29" s="6">
        <f>IF(A29=0,0,$B$5*$B$7/100*$B$15/1000)</f>
        <v/>
      </c>
      <c r="X29" s="6">
        <f>W29*ratio_wtw</f>
        <v/>
      </c>
      <c r="Y29" s="6">
        <f>IF(A29=0,0,$B$5*$B$21/100*fe_elec/1000000)</f>
        <v/>
      </c>
    </row>
    <row r="30">
      <c r="A30">
        <f>A29+1</f>
        <v/>
      </c>
      <c r="B30" s="5">
        <f>IF(A30=0,$B$19+$B$20,IF(A30=$B$24,$B$14*(1+g_general)^A30*(1+taux_taxes),0))</f>
        <v/>
      </c>
      <c r="C30" s="5">
        <f>IF(A30=$B$13,$B$12,0)</f>
        <v/>
      </c>
      <c r="D30" s="5">
        <f>IF(A30=0,0,$B$5*$B$21/100*prix_elec*(1+g_elec)^A30*(1+taux_taxes))</f>
        <v/>
      </c>
      <c r="E30" s="5">
        <f>IF(A30=0,0,$B$5*$B$11*(1+g_entretien)^A30*(1+taux_taxes))</f>
        <v/>
      </c>
      <c r="F30" s="5">
        <f>IF(A30=0,0,infra_entretien_pct*$B$14*(1+g_entretien)^A30*(1+taux_taxes))</f>
        <v/>
      </c>
      <c r="G30" s="5">
        <f>IF(A30=$B$4,$B$23+$B$25,0)</f>
        <v/>
      </c>
      <c r="H30" s="5">
        <f>B30-C30+D30+E30+F30-G30</f>
        <v/>
      </c>
      <c r="I30" s="5">
        <f>IF(A30=0,$B$18,0)</f>
        <v/>
      </c>
      <c r="J30" s="5">
        <f>IF(A30=0,0,$B$5*$B$7/100*prix_diesel*(1+g_diesel)^A30*(1+taux_taxes))</f>
        <v/>
      </c>
      <c r="K30" s="5">
        <f>IF(A30=0,0,$B$5*$B$8*(1+g_entretien)^A30*(1+taux_taxes))</f>
        <v/>
      </c>
      <c r="L30" s="5">
        <f>IF(A30=$B$4,$B$22,0)</f>
        <v/>
      </c>
      <c r="M30" s="5">
        <f>I30+J30+K30-L30</f>
        <v/>
      </c>
      <c r="N30" s="5">
        <f>M30-H30</f>
        <v/>
      </c>
      <c r="O30" s="5">
        <f>1/(1+taux_r)^A30</f>
        <v/>
      </c>
      <c r="P30" s="5">
        <f>H30*O30</f>
        <v/>
      </c>
      <c r="Q30" s="5">
        <f>M30*O30</f>
        <v/>
      </c>
      <c r="R30" s="5">
        <f>R29+N30</f>
        <v/>
      </c>
      <c r="S30" s="5">
        <f>S29+N30*O30</f>
        <v/>
      </c>
      <c r="T30" s="5">
        <f>IF(A30=0,0,$B$5*O30)</f>
        <v/>
      </c>
      <c r="U30" s="6">
        <f>IF(R30&gt;=0,A30,"")</f>
        <v/>
      </c>
      <c r="V30" s="6">
        <f>IF(S30&gt;=0,A30,"")</f>
        <v/>
      </c>
      <c r="W30" s="6">
        <f>IF(A30=0,0,$B$5*$B$7/100*$B$15/1000)</f>
        <v/>
      </c>
      <c r="X30" s="6">
        <f>W30*ratio_wtw</f>
        <v/>
      </c>
      <c r="Y30" s="6">
        <f>IF(A30=0,0,$B$5*$B$21/100*fe_elec/1000000)</f>
        <v/>
      </c>
    </row>
    <row r="31">
      <c r="A31">
        <f>A30+1</f>
        <v/>
      </c>
      <c r="B31" s="5">
        <f>IF(A31=0,$B$19+$B$20,IF(A31=$B$24,$B$14*(1+g_general)^A31*(1+taux_taxes),0))</f>
        <v/>
      </c>
      <c r="C31" s="5">
        <f>IF(A31=$B$13,$B$12,0)</f>
        <v/>
      </c>
      <c r="D31" s="5">
        <f>IF(A31=0,0,$B$5*$B$21/100*prix_elec*(1+g_elec)^A31*(1+taux_taxes))</f>
        <v/>
      </c>
      <c r="E31" s="5">
        <f>IF(A31=0,0,$B$5*$B$11*(1+g_entretien)^A31*(1+taux_taxes))</f>
        <v/>
      </c>
      <c r="F31" s="5">
        <f>IF(A31=0,0,infra_entretien_pct*$B$14*(1+g_entretien)^A31*(1+taux_taxes))</f>
        <v/>
      </c>
      <c r="G31" s="5">
        <f>IF(A31=$B$4,$B$23+$B$25,0)</f>
        <v/>
      </c>
      <c r="H31" s="5">
        <f>B31-C31+D31+E31+F31-G31</f>
        <v/>
      </c>
      <c r="I31" s="5">
        <f>IF(A31=0,$B$18,0)</f>
        <v/>
      </c>
      <c r="J31" s="5">
        <f>IF(A31=0,0,$B$5*$B$7/100*prix_diesel*(1+g_diesel)^A31*(1+taux_taxes))</f>
        <v/>
      </c>
      <c r="K31" s="5">
        <f>IF(A31=0,0,$B$5*$B$8*(1+g_entretien)^A31*(1+taux_taxes))</f>
        <v/>
      </c>
      <c r="L31" s="5">
        <f>IF(A31=$B$4,$B$22,0)</f>
        <v/>
      </c>
      <c r="M31" s="5">
        <f>I31+J31+K31-L31</f>
        <v/>
      </c>
      <c r="N31" s="5">
        <f>M31-H31</f>
        <v/>
      </c>
      <c r="O31" s="5">
        <f>1/(1+taux_r)^A31</f>
        <v/>
      </c>
      <c r="P31" s="5">
        <f>H31*O31</f>
        <v/>
      </c>
      <c r="Q31" s="5">
        <f>M31*O31</f>
        <v/>
      </c>
      <c r="R31" s="5">
        <f>R30+N31</f>
        <v/>
      </c>
      <c r="S31" s="5">
        <f>S30+N31*O31</f>
        <v/>
      </c>
      <c r="T31" s="5">
        <f>IF(A31=0,0,$B$5*O31)</f>
        <v/>
      </c>
      <c r="U31" s="6">
        <f>IF(R31&gt;=0,A31,"")</f>
        <v/>
      </c>
      <c r="V31" s="6">
        <f>IF(S31&gt;=0,A31,"")</f>
        <v/>
      </c>
      <c r="W31" s="6">
        <f>IF(A31=0,0,$B$5*$B$7/100*$B$15/1000)</f>
        <v/>
      </c>
      <c r="X31" s="6">
        <f>W31*ratio_wtw</f>
        <v/>
      </c>
      <c r="Y31" s="6">
        <f>IF(A31=0,0,$B$5*$B$21/100*fe_elec/1000000)</f>
        <v/>
      </c>
    </row>
    <row r="32">
      <c r="A32">
        <f>A31+1</f>
        <v/>
      </c>
      <c r="B32" s="5">
        <f>IF(A32=0,$B$19+$B$20,IF(A32=$B$24,$B$14*(1+g_general)^A32*(1+taux_taxes),0))</f>
        <v/>
      </c>
      <c r="C32" s="5">
        <f>IF(A32=$B$13,$B$12,0)</f>
        <v/>
      </c>
      <c r="D32" s="5">
        <f>IF(A32=0,0,$B$5*$B$21/100*prix_elec*(1+g_elec)^A32*(1+taux_taxes))</f>
        <v/>
      </c>
      <c r="E32" s="5">
        <f>IF(A32=0,0,$B$5*$B$11*(1+g_entretien)^A32*(1+taux_taxes))</f>
        <v/>
      </c>
      <c r="F32" s="5">
        <f>IF(A32=0,0,infra_entretien_pct*$B$14*(1+g_entretien)^A32*(1+taux_taxes))</f>
        <v/>
      </c>
      <c r="G32" s="5">
        <f>IF(A32=$B$4,$B$23+$B$25,0)</f>
        <v/>
      </c>
      <c r="H32" s="5">
        <f>B32-C32+D32+E32+F32-G32</f>
        <v/>
      </c>
      <c r="I32" s="5">
        <f>IF(A32=0,$B$18,0)</f>
        <v/>
      </c>
      <c r="J32" s="5">
        <f>IF(A32=0,0,$B$5*$B$7/100*prix_diesel*(1+g_diesel)^A32*(1+taux_taxes))</f>
        <v/>
      </c>
      <c r="K32" s="5">
        <f>IF(A32=0,0,$B$5*$B$8*(1+g_entretien)^A32*(1+taux_taxes))</f>
        <v/>
      </c>
      <c r="L32" s="5">
        <f>IF(A32=$B$4,$B$22,0)</f>
        <v/>
      </c>
      <c r="M32" s="5">
        <f>I32+J32+K32-L32</f>
        <v/>
      </c>
      <c r="N32" s="5">
        <f>M32-H32</f>
        <v/>
      </c>
      <c r="O32" s="5">
        <f>1/(1+taux_r)^A32</f>
        <v/>
      </c>
      <c r="P32" s="5">
        <f>H32*O32</f>
        <v/>
      </c>
      <c r="Q32" s="5">
        <f>M32*O32</f>
        <v/>
      </c>
      <c r="R32" s="5">
        <f>R31+N32</f>
        <v/>
      </c>
      <c r="S32" s="5">
        <f>S31+N32*O32</f>
        <v/>
      </c>
      <c r="T32" s="5">
        <f>IF(A32=0,0,$B$5*O32)</f>
        <v/>
      </c>
      <c r="U32" s="6">
        <f>IF(R32&gt;=0,A32,"")</f>
        <v/>
      </c>
      <c r="V32" s="6">
        <f>IF(S32&gt;=0,A32,"")</f>
        <v/>
      </c>
      <c r="W32" s="6">
        <f>IF(A32=0,0,$B$5*$B$7/100*$B$15/1000)</f>
        <v/>
      </c>
      <c r="X32" s="6">
        <f>W32*ratio_wtw</f>
        <v/>
      </c>
      <c r="Y32" s="6">
        <f>IF(A32=0,0,$B$5*$B$21/100*fe_elec/1000000)</f>
        <v/>
      </c>
    </row>
    <row r="33">
      <c r="A33">
        <f>A32+1</f>
        <v/>
      </c>
      <c r="B33" s="5">
        <f>IF(A33=0,$B$19+$B$20,IF(A33=$B$24,$B$14*(1+g_general)^A33*(1+taux_taxes),0))</f>
        <v/>
      </c>
      <c r="C33" s="5">
        <f>IF(A33=$B$13,$B$12,0)</f>
        <v/>
      </c>
      <c r="D33" s="5">
        <f>IF(A33=0,0,$B$5*$B$21/100*prix_elec*(1+g_elec)^A33*(1+taux_taxes))</f>
        <v/>
      </c>
      <c r="E33" s="5">
        <f>IF(A33=0,0,$B$5*$B$11*(1+g_entretien)^A33*(1+taux_taxes))</f>
        <v/>
      </c>
      <c r="F33" s="5">
        <f>IF(A33=0,0,infra_entretien_pct*$B$14*(1+g_entretien)^A33*(1+taux_taxes))</f>
        <v/>
      </c>
      <c r="G33" s="5">
        <f>IF(A33=$B$4,$B$23+$B$25,0)</f>
        <v/>
      </c>
      <c r="H33" s="5">
        <f>B33-C33+D33+E33+F33-G33</f>
        <v/>
      </c>
      <c r="I33" s="5">
        <f>IF(A33=0,$B$18,0)</f>
        <v/>
      </c>
      <c r="J33" s="5">
        <f>IF(A33=0,0,$B$5*$B$7/100*prix_diesel*(1+g_diesel)^A33*(1+taux_taxes))</f>
        <v/>
      </c>
      <c r="K33" s="5">
        <f>IF(A33=0,0,$B$5*$B$8*(1+g_entretien)^A33*(1+taux_taxes))</f>
        <v/>
      </c>
      <c r="L33" s="5">
        <f>IF(A33=$B$4,$B$22,0)</f>
        <v/>
      </c>
      <c r="M33" s="5">
        <f>I33+J33+K33-L33</f>
        <v/>
      </c>
      <c r="N33" s="5">
        <f>M33-H33</f>
        <v/>
      </c>
      <c r="O33" s="5">
        <f>1/(1+taux_r)^A33</f>
        <v/>
      </c>
      <c r="P33" s="5">
        <f>H33*O33</f>
        <v/>
      </c>
      <c r="Q33" s="5">
        <f>M33*O33</f>
        <v/>
      </c>
      <c r="R33" s="5">
        <f>R32+N33</f>
        <v/>
      </c>
      <c r="S33" s="5">
        <f>S32+N33*O33</f>
        <v/>
      </c>
      <c r="T33" s="5">
        <f>IF(A33=0,0,$B$5*O33)</f>
        <v/>
      </c>
      <c r="U33" s="6">
        <f>IF(R33&gt;=0,A33,"")</f>
        <v/>
      </c>
      <c r="V33" s="6">
        <f>IF(S33&gt;=0,A33,"")</f>
        <v/>
      </c>
      <c r="W33" s="6">
        <f>IF(A33=0,0,$B$5*$B$7/100*$B$15/1000)</f>
        <v/>
      </c>
      <c r="X33" s="6">
        <f>W33*ratio_wtw</f>
        <v/>
      </c>
      <c r="Y33" s="6">
        <f>IF(A33=0,0,$B$5*$B$21/100*fe_elec/1000000)</f>
        <v/>
      </c>
    </row>
    <row r="34">
      <c r="A34">
        <f>A33+1</f>
        <v/>
      </c>
      <c r="B34" s="5">
        <f>IF(A34=0,$B$19+$B$20,IF(A34=$B$24,$B$14*(1+g_general)^A34*(1+taux_taxes),0))</f>
        <v/>
      </c>
      <c r="C34" s="5">
        <f>IF(A34=$B$13,$B$12,0)</f>
        <v/>
      </c>
      <c r="D34" s="5">
        <f>IF(A34=0,0,$B$5*$B$21/100*prix_elec*(1+g_elec)^A34*(1+taux_taxes))</f>
        <v/>
      </c>
      <c r="E34" s="5">
        <f>IF(A34=0,0,$B$5*$B$11*(1+g_entretien)^A34*(1+taux_taxes))</f>
        <v/>
      </c>
      <c r="F34" s="5">
        <f>IF(A34=0,0,infra_entretien_pct*$B$14*(1+g_entretien)^A34*(1+taux_taxes))</f>
        <v/>
      </c>
      <c r="G34" s="5">
        <f>IF(A34=$B$4,$B$23+$B$25,0)</f>
        <v/>
      </c>
      <c r="H34" s="5">
        <f>B34-C34+D34+E34+F34-G34</f>
        <v/>
      </c>
      <c r="I34" s="5">
        <f>IF(A34=0,$B$18,0)</f>
        <v/>
      </c>
      <c r="J34" s="5">
        <f>IF(A34=0,0,$B$5*$B$7/100*prix_diesel*(1+g_diesel)^A34*(1+taux_taxes))</f>
        <v/>
      </c>
      <c r="K34" s="5">
        <f>IF(A34=0,0,$B$5*$B$8*(1+g_entretien)^A34*(1+taux_taxes))</f>
        <v/>
      </c>
      <c r="L34" s="5">
        <f>IF(A34=$B$4,$B$22,0)</f>
        <v/>
      </c>
      <c r="M34" s="5">
        <f>I34+J34+K34-L34</f>
        <v/>
      </c>
      <c r="N34" s="5">
        <f>M34-H34</f>
        <v/>
      </c>
      <c r="O34" s="5">
        <f>1/(1+taux_r)^A34</f>
        <v/>
      </c>
      <c r="P34" s="5">
        <f>H34*O34</f>
        <v/>
      </c>
      <c r="Q34" s="5">
        <f>M34*O34</f>
        <v/>
      </c>
      <c r="R34" s="5">
        <f>R33+N34</f>
        <v/>
      </c>
      <c r="S34" s="5">
        <f>S33+N34*O34</f>
        <v/>
      </c>
      <c r="T34" s="5">
        <f>IF(A34=0,0,$B$5*O34)</f>
        <v/>
      </c>
      <c r="U34" s="6">
        <f>IF(R34&gt;=0,A34,"")</f>
        <v/>
      </c>
      <c r="V34" s="6">
        <f>IF(S34&gt;=0,A34,"")</f>
        <v/>
      </c>
      <c r="W34" s="6">
        <f>IF(A34=0,0,$B$5*$B$7/100*$B$15/1000)</f>
        <v/>
      </c>
      <c r="X34" s="6">
        <f>W34*ratio_wtw</f>
        <v/>
      </c>
      <c r="Y34" s="6">
        <f>IF(A34=0,0,$B$5*$B$21/100*fe_elec/1000000)</f>
        <v/>
      </c>
    </row>
    <row r="35">
      <c r="A35">
        <f>A34+1</f>
        <v/>
      </c>
      <c r="B35" s="5">
        <f>IF(A35=0,$B$19+$B$20,IF(A35=$B$24,$B$14*(1+g_general)^A35*(1+taux_taxes),0))</f>
        <v/>
      </c>
      <c r="C35" s="5">
        <f>IF(A35=$B$13,$B$12,0)</f>
        <v/>
      </c>
      <c r="D35" s="5">
        <f>IF(A35=0,0,$B$5*$B$21/100*prix_elec*(1+g_elec)^A35*(1+taux_taxes))</f>
        <v/>
      </c>
      <c r="E35" s="5">
        <f>IF(A35=0,0,$B$5*$B$11*(1+g_entretien)^A35*(1+taux_taxes))</f>
        <v/>
      </c>
      <c r="F35" s="5">
        <f>IF(A35=0,0,infra_entretien_pct*$B$14*(1+g_entretien)^A35*(1+taux_taxes))</f>
        <v/>
      </c>
      <c r="G35" s="5">
        <f>IF(A35=$B$4,$B$23+$B$25,0)</f>
        <v/>
      </c>
      <c r="H35" s="5">
        <f>B35-C35+D35+E35+F35-G35</f>
        <v/>
      </c>
      <c r="I35" s="5">
        <f>IF(A35=0,$B$18,0)</f>
        <v/>
      </c>
      <c r="J35" s="5">
        <f>IF(A35=0,0,$B$5*$B$7/100*prix_diesel*(1+g_diesel)^A35*(1+taux_taxes))</f>
        <v/>
      </c>
      <c r="K35" s="5">
        <f>IF(A35=0,0,$B$5*$B$8*(1+g_entretien)^A35*(1+taux_taxes))</f>
        <v/>
      </c>
      <c r="L35" s="5">
        <f>IF(A35=$B$4,$B$22,0)</f>
        <v/>
      </c>
      <c r="M35" s="5">
        <f>I35+J35+K35-L35</f>
        <v/>
      </c>
      <c r="N35" s="5">
        <f>M35-H35</f>
        <v/>
      </c>
      <c r="O35" s="5">
        <f>1/(1+taux_r)^A35</f>
        <v/>
      </c>
      <c r="P35" s="5">
        <f>H35*O35</f>
        <v/>
      </c>
      <c r="Q35" s="5">
        <f>M35*O35</f>
        <v/>
      </c>
      <c r="R35" s="5">
        <f>R34+N35</f>
        <v/>
      </c>
      <c r="S35" s="5">
        <f>S34+N35*O35</f>
        <v/>
      </c>
      <c r="T35" s="5">
        <f>IF(A35=0,0,$B$5*O35)</f>
        <v/>
      </c>
      <c r="U35" s="6">
        <f>IF(R35&gt;=0,A35,"")</f>
        <v/>
      </c>
      <c r="V35" s="6">
        <f>IF(S35&gt;=0,A35,"")</f>
        <v/>
      </c>
      <c r="W35" s="6">
        <f>IF(A35=0,0,$B$5*$B$7/100*$B$15/1000)</f>
        <v/>
      </c>
      <c r="X35" s="6">
        <f>W35*ratio_wtw</f>
        <v/>
      </c>
      <c r="Y35" s="6">
        <f>IF(A35=0,0,$B$5*$B$21/100*fe_elec/1000000)</f>
        <v/>
      </c>
    </row>
    <row r="36">
      <c r="A36">
        <f>A35+1</f>
        <v/>
      </c>
      <c r="B36" s="5">
        <f>IF(A36=0,$B$19+$B$20,IF(A36=$B$24,$B$14*(1+g_general)^A36*(1+taux_taxes),0))</f>
        <v/>
      </c>
      <c r="C36" s="5">
        <f>IF(A36=$B$13,$B$12,0)</f>
        <v/>
      </c>
      <c r="D36" s="5">
        <f>IF(A36=0,0,$B$5*$B$21/100*prix_elec*(1+g_elec)^A36*(1+taux_taxes))</f>
        <v/>
      </c>
      <c r="E36" s="5">
        <f>IF(A36=0,0,$B$5*$B$11*(1+g_entretien)^A36*(1+taux_taxes))</f>
        <v/>
      </c>
      <c r="F36" s="5">
        <f>IF(A36=0,0,infra_entretien_pct*$B$14*(1+g_entretien)^A36*(1+taux_taxes))</f>
        <v/>
      </c>
      <c r="G36" s="5">
        <f>IF(A36=$B$4,$B$23+$B$25,0)</f>
        <v/>
      </c>
      <c r="H36" s="5">
        <f>B36-C36+D36+E36+F36-G36</f>
        <v/>
      </c>
      <c r="I36" s="5">
        <f>IF(A36=0,$B$18,0)</f>
        <v/>
      </c>
      <c r="J36" s="5">
        <f>IF(A36=0,0,$B$5*$B$7/100*prix_diesel*(1+g_diesel)^A36*(1+taux_taxes))</f>
        <v/>
      </c>
      <c r="K36" s="5">
        <f>IF(A36=0,0,$B$5*$B$8*(1+g_entretien)^A36*(1+taux_taxes))</f>
        <v/>
      </c>
      <c r="L36" s="5">
        <f>IF(A36=$B$4,$B$22,0)</f>
        <v/>
      </c>
      <c r="M36" s="5">
        <f>I36+J36+K36-L36</f>
        <v/>
      </c>
      <c r="N36" s="5">
        <f>M36-H36</f>
        <v/>
      </c>
      <c r="O36" s="5">
        <f>1/(1+taux_r)^A36</f>
        <v/>
      </c>
      <c r="P36" s="5">
        <f>H36*O36</f>
        <v/>
      </c>
      <c r="Q36" s="5">
        <f>M36*O36</f>
        <v/>
      </c>
      <c r="R36" s="5">
        <f>R35+N36</f>
        <v/>
      </c>
      <c r="S36" s="5">
        <f>S35+N36*O36</f>
        <v/>
      </c>
      <c r="T36" s="5">
        <f>IF(A36=0,0,$B$5*O36)</f>
        <v/>
      </c>
      <c r="U36" s="6">
        <f>IF(R36&gt;=0,A36,"")</f>
        <v/>
      </c>
      <c r="V36" s="6">
        <f>IF(S36&gt;=0,A36,"")</f>
        <v/>
      </c>
      <c r="W36" s="6">
        <f>IF(A36=0,0,$B$5*$B$7/100*$B$15/1000)</f>
        <v/>
      </c>
      <c r="X36" s="6">
        <f>W36*ratio_wtw</f>
        <v/>
      </c>
      <c r="Y36" s="6">
        <f>IF(A36=0,0,$B$5*$B$21/100*fe_elec/1000000)</f>
        <v/>
      </c>
    </row>
    <row r="37">
      <c r="A37">
        <f>A36+1</f>
        <v/>
      </c>
      <c r="B37" s="5">
        <f>IF(A37=0,$B$19+$B$20,IF(A37=$B$24,$B$14*(1+g_general)^A37*(1+taux_taxes),0))</f>
        <v/>
      </c>
      <c r="C37" s="5">
        <f>IF(A37=$B$13,$B$12,0)</f>
        <v/>
      </c>
      <c r="D37" s="5">
        <f>IF(A37=0,0,$B$5*$B$21/100*prix_elec*(1+g_elec)^A37*(1+taux_taxes))</f>
        <v/>
      </c>
      <c r="E37" s="5">
        <f>IF(A37=0,0,$B$5*$B$11*(1+g_entretien)^A37*(1+taux_taxes))</f>
        <v/>
      </c>
      <c r="F37" s="5">
        <f>IF(A37=0,0,infra_entretien_pct*$B$14*(1+g_entretien)^A37*(1+taux_taxes))</f>
        <v/>
      </c>
      <c r="G37" s="5">
        <f>IF(A37=$B$4,$B$23+$B$25,0)</f>
        <v/>
      </c>
      <c r="H37" s="5">
        <f>B37-C37+D37+E37+F37-G37</f>
        <v/>
      </c>
      <c r="I37" s="5">
        <f>IF(A37=0,$B$18,0)</f>
        <v/>
      </c>
      <c r="J37" s="5">
        <f>IF(A37=0,0,$B$5*$B$7/100*prix_diesel*(1+g_diesel)^A37*(1+taux_taxes))</f>
        <v/>
      </c>
      <c r="K37" s="5">
        <f>IF(A37=0,0,$B$5*$B$8*(1+g_entretien)^A37*(1+taux_taxes))</f>
        <v/>
      </c>
      <c r="L37" s="5">
        <f>IF(A37=$B$4,$B$22,0)</f>
        <v/>
      </c>
      <c r="M37" s="5">
        <f>I37+J37+K37-L37</f>
        <v/>
      </c>
      <c r="N37" s="5">
        <f>M37-H37</f>
        <v/>
      </c>
      <c r="O37" s="5">
        <f>1/(1+taux_r)^A37</f>
        <v/>
      </c>
      <c r="P37" s="5">
        <f>H37*O37</f>
        <v/>
      </c>
      <c r="Q37" s="5">
        <f>M37*O37</f>
        <v/>
      </c>
      <c r="R37" s="5">
        <f>R36+N37</f>
        <v/>
      </c>
      <c r="S37" s="5">
        <f>S36+N37*O37</f>
        <v/>
      </c>
      <c r="T37" s="5">
        <f>IF(A37=0,0,$B$5*O37)</f>
        <v/>
      </c>
      <c r="U37" s="6">
        <f>IF(R37&gt;=0,A37,"")</f>
        <v/>
      </c>
      <c r="V37" s="6">
        <f>IF(S37&gt;=0,A37,"")</f>
        <v/>
      </c>
      <c r="W37" s="6">
        <f>IF(A37=0,0,$B$5*$B$7/100*$B$15/1000)</f>
        <v/>
      </c>
      <c r="X37" s="6">
        <f>W37*ratio_wtw</f>
        <v/>
      </c>
      <c r="Y37" s="6">
        <f>IF(A37=0,0,$B$5*$B$21/100*fe_elec/1000000)</f>
        <v/>
      </c>
    </row>
    <row r="38">
      <c r="A38">
        <f>A37+1</f>
        <v/>
      </c>
      <c r="B38" s="5">
        <f>IF(A38=0,$B$19+$B$20,IF(A38=$B$24,$B$14*(1+g_general)^A38*(1+taux_taxes),0))</f>
        <v/>
      </c>
      <c r="C38" s="5">
        <f>IF(A38=$B$13,$B$12,0)</f>
        <v/>
      </c>
      <c r="D38" s="5">
        <f>IF(A38=0,0,$B$5*$B$21/100*prix_elec*(1+g_elec)^A38*(1+taux_taxes))</f>
        <v/>
      </c>
      <c r="E38" s="5">
        <f>IF(A38=0,0,$B$5*$B$11*(1+g_entretien)^A38*(1+taux_taxes))</f>
        <v/>
      </c>
      <c r="F38" s="5">
        <f>IF(A38=0,0,infra_entretien_pct*$B$14*(1+g_entretien)^A38*(1+taux_taxes))</f>
        <v/>
      </c>
      <c r="G38" s="5">
        <f>IF(A38=$B$4,$B$23+$B$25,0)</f>
        <v/>
      </c>
      <c r="H38" s="5">
        <f>B38-C38+D38+E38+F38-G38</f>
        <v/>
      </c>
      <c r="I38" s="5">
        <f>IF(A38=0,$B$18,0)</f>
        <v/>
      </c>
      <c r="J38" s="5">
        <f>IF(A38=0,0,$B$5*$B$7/100*prix_diesel*(1+g_diesel)^A38*(1+taux_taxes))</f>
        <v/>
      </c>
      <c r="K38" s="5">
        <f>IF(A38=0,0,$B$5*$B$8*(1+g_entretien)^A38*(1+taux_taxes))</f>
        <v/>
      </c>
      <c r="L38" s="5">
        <f>IF(A38=$B$4,$B$22,0)</f>
        <v/>
      </c>
      <c r="M38" s="5">
        <f>I38+J38+K38-L38</f>
        <v/>
      </c>
      <c r="N38" s="5">
        <f>M38-H38</f>
        <v/>
      </c>
      <c r="O38" s="5">
        <f>1/(1+taux_r)^A38</f>
        <v/>
      </c>
      <c r="P38" s="5">
        <f>H38*O38</f>
        <v/>
      </c>
      <c r="Q38" s="5">
        <f>M38*O38</f>
        <v/>
      </c>
      <c r="R38" s="5">
        <f>R37+N38</f>
        <v/>
      </c>
      <c r="S38" s="5">
        <f>S37+N38*O38</f>
        <v/>
      </c>
      <c r="T38" s="5">
        <f>IF(A38=0,0,$B$5*O38)</f>
        <v/>
      </c>
      <c r="U38" s="6">
        <f>IF(R38&gt;=0,A38,"")</f>
        <v/>
      </c>
      <c r="V38" s="6">
        <f>IF(S38&gt;=0,A38,"")</f>
        <v/>
      </c>
      <c r="W38" s="6">
        <f>IF(A38=0,0,$B$5*$B$7/100*$B$15/1000)</f>
        <v/>
      </c>
      <c r="X38" s="6">
        <f>W38*ratio_wtw</f>
        <v/>
      </c>
      <c r="Y38" s="6">
        <f>IF(A38=0,0,$B$5*$B$21/100*fe_elec/1000000)</f>
        <v/>
      </c>
    </row>
    <row r="39">
      <c r="A39">
        <f>A38+1</f>
        <v/>
      </c>
      <c r="B39" s="5">
        <f>IF(A39=0,$B$19+$B$20,IF(A39=$B$24,$B$14*(1+g_general)^A39*(1+taux_taxes),0))</f>
        <v/>
      </c>
      <c r="C39" s="5">
        <f>IF(A39=$B$13,$B$12,0)</f>
        <v/>
      </c>
      <c r="D39" s="5">
        <f>IF(A39=0,0,$B$5*$B$21/100*prix_elec*(1+g_elec)^A39*(1+taux_taxes))</f>
        <v/>
      </c>
      <c r="E39" s="5">
        <f>IF(A39=0,0,$B$5*$B$11*(1+g_entretien)^A39*(1+taux_taxes))</f>
        <v/>
      </c>
      <c r="F39" s="5">
        <f>IF(A39=0,0,infra_entretien_pct*$B$14*(1+g_entretien)^A39*(1+taux_taxes))</f>
        <v/>
      </c>
      <c r="G39" s="5">
        <f>IF(A39=$B$4,$B$23+$B$25,0)</f>
        <v/>
      </c>
      <c r="H39" s="5">
        <f>B39-C39+D39+E39+F39-G39</f>
        <v/>
      </c>
      <c r="I39" s="5">
        <f>IF(A39=0,$B$18,0)</f>
        <v/>
      </c>
      <c r="J39" s="5">
        <f>IF(A39=0,0,$B$5*$B$7/100*prix_diesel*(1+g_diesel)^A39*(1+taux_taxes))</f>
        <v/>
      </c>
      <c r="K39" s="5">
        <f>IF(A39=0,0,$B$5*$B$8*(1+g_entretien)^A39*(1+taux_taxes))</f>
        <v/>
      </c>
      <c r="L39" s="5">
        <f>IF(A39=$B$4,$B$22,0)</f>
        <v/>
      </c>
      <c r="M39" s="5">
        <f>I39+J39+K39-L39</f>
        <v/>
      </c>
      <c r="N39" s="5">
        <f>M39-H39</f>
        <v/>
      </c>
      <c r="O39" s="5">
        <f>1/(1+taux_r)^A39</f>
        <v/>
      </c>
      <c r="P39" s="5">
        <f>H39*O39</f>
        <v/>
      </c>
      <c r="Q39" s="5">
        <f>M39*O39</f>
        <v/>
      </c>
      <c r="R39" s="5">
        <f>R38+N39</f>
        <v/>
      </c>
      <c r="S39" s="5">
        <f>S38+N39*O39</f>
        <v/>
      </c>
      <c r="T39" s="5">
        <f>IF(A39=0,0,$B$5*O39)</f>
        <v/>
      </c>
      <c r="U39" s="6">
        <f>IF(R39&gt;=0,A39,"")</f>
        <v/>
      </c>
      <c r="V39" s="6">
        <f>IF(S39&gt;=0,A39,"")</f>
        <v/>
      </c>
      <c r="W39" s="6">
        <f>IF(A39=0,0,$B$5*$B$7/100*$B$15/1000)</f>
        <v/>
      </c>
      <c r="X39" s="6">
        <f>W39*ratio_wtw</f>
        <v/>
      </c>
      <c r="Y39" s="6">
        <f>IF(A39=0,0,$B$5*$B$21/100*fe_elec/1000000)</f>
        <v/>
      </c>
    </row>
    <row r="41">
      <c r="A41" s="2" t="inlineStr">
        <is>
          <t>Résultats (formules)</t>
        </is>
      </c>
      <c r="C41" s="2" t="inlineStr">
        <is>
          <t>Attendu (contre-calcul indépendant, JSON) — comparaison seulement</t>
        </is>
      </c>
    </row>
    <row r="42">
      <c r="A42" s="2" t="inlineStr">
        <is>
          <t>TCO actualisé — alternative ($)</t>
        </is>
      </c>
      <c r="B42" s="4">
        <f>SUM(P29:P39)</f>
        <v/>
      </c>
      <c r="C42" s="7" t="n">
        <v>145029.96</v>
      </c>
    </row>
    <row r="43">
      <c r="A43" s="2" t="inlineStr">
        <is>
          <t>TCO actualisé — référence ($)</t>
        </is>
      </c>
      <c r="B43" s="4">
        <f>SUM(Q29:Q39)</f>
        <v/>
      </c>
      <c r="C43" s="7" t="n">
        <v>179269.73</v>
      </c>
    </row>
    <row r="44">
      <c r="A44" s="2" t="inlineStr">
        <is>
          <t>VAN différentielle réf − alt ($)</t>
        </is>
      </c>
      <c r="B44" s="4">
        <f>B43-B42</f>
        <v/>
      </c>
      <c r="C44" s="7" t="n">
        <v>34239.77</v>
      </c>
    </row>
    <row r="45">
      <c r="A45" s="2" t="inlineStr">
        <is>
          <t>km actualisés</t>
        </is>
      </c>
      <c r="B45" s="4">
        <f>SUM(T29:T39)</f>
        <v/>
      </c>
    </row>
    <row r="46">
      <c r="A46" s="2" t="inlineStr">
        <is>
          <t>TCO/km actualisé — alternative ($/km)</t>
        </is>
      </c>
      <c r="B46" s="4">
        <f>B42/B45</f>
        <v/>
      </c>
      <c r="C46" s="7" t="n">
        <v>0.6261</v>
      </c>
    </row>
    <row r="47">
      <c r="A47" s="2" t="inlineStr">
        <is>
          <t>TCO/km actualisé — référence ($/km)</t>
        </is>
      </c>
      <c r="B47" s="4">
        <f>B43/B45</f>
        <v/>
      </c>
    </row>
    <row r="48">
      <c r="A48" s="2" t="inlineStr">
        <is>
          <t>Délai de récupération simple (années)</t>
        </is>
      </c>
      <c r="B48" s="4">
        <f>IF(COUNT(U29:U39)=0,"null : jamais atteint sur l'horizon",MIN(U29:U39))</f>
        <v/>
      </c>
      <c r="C48" s="7" t="n">
        <v>5</v>
      </c>
    </row>
    <row r="49">
      <c r="A49" s="2" t="inlineStr">
        <is>
          <t>Délai de récupération actualisé (années)</t>
        </is>
      </c>
      <c r="B49" s="4">
        <f>IF(COUNT(V29:V39)=0,"null : jamais atteint sur l'horizon",MIN(V29:V39))</f>
        <v/>
      </c>
      <c r="C49" s="7" t="n">
        <v>6</v>
      </c>
    </row>
    <row r="50">
      <c r="A50" s="2" t="inlineStr">
        <is>
          <t>CO2e évité cumulé TTW (t)</t>
        </is>
      </c>
      <c r="B50" s="4">
        <f>SUM(W29:W39)</f>
        <v/>
      </c>
      <c r="C50" s="7" t="n">
        <v>123.345</v>
      </c>
    </row>
    <row r="51">
      <c r="A51" s="2" t="inlineStr">
        <is>
          <t>CO2e évité cumulé WTW (t)</t>
        </is>
      </c>
      <c r="B51" s="4">
        <f>SUM(X29:X39)-SUM(Y29:Y39)</f>
        <v/>
      </c>
      <c r="C51" s="7" t="n">
        <v>154.043</v>
      </c>
    </row>
    <row r="52">
      <c r="A52" s="2" t="inlineStr">
        <is>
          <t>Coût (+) ou gain (−) par tonne WTW évitée ($/t)</t>
        </is>
      </c>
      <c r="B52" s="4">
        <f>(B42-B43)/B51</f>
        <v/>
      </c>
      <c r="C52" s="7" t="n">
        <v>-222.27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Y52"/>
  <sheetViews>
    <sheetView workbookViewId="0">
      <selection activeCell="A1" sqref="A1"/>
    </sheetView>
  </sheetViews>
  <sheetFormatPr baseColWidth="8" defaultRowHeight="15"/>
  <cols>
    <col width="4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</cols>
  <sheetData>
    <row r="1">
      <c r="A1" s="1" t="inlineStr">
        <is>
          <t>Cas 2 — Autobus urbain 12 m BEV</t>
        </is>
      </c>
    </row>
    <row r="3">
      <c r="A3" s="2" t="inlineStr">
        <is>
          <t>Entrées du cas (constantes, depuis docs/tco-cas-de-reference.json)</t>
        </is>
      </c>
    </row>
    <row r="4">
      <c r="A4" t="inlineStr">
        <is>
          <t>Horizon H (années)</t>
        </is>
      </c>
      <c r="B4" s="3" t="n">
        <v>10</v>
      </c>
      <c r="C4" t="inlineStr">
        <is>
          <t>ans</t>
        </is>
      </c>
    </row>
    <row r="5">
      <c r="A5" t="inlineStr">
        <is>
          <t>Kilométrage annuel</t>
        </is>
      </c>
      <c r="B5" s="3" t="n">
        <v>60000</v>
      </c>
      <c r="C5" t="inlineStr">
        <is>
          <t>km/an</t>
        </is>
      </c>
    </row>
    <row r="6">
      <c r="A6" t="inlineStr">
        <is>
          <t>Prix réf (diesel) avant taxes</t>
        </is>
      </c>
      <c r="B6" s="3" t="n">
        <v>750000</v>
      </c>
      <c r="C6" t="inlineStr">
        <is>
          <t>$</t>
        </is>
      </c>
    </row>
    <row r="7">
      <c r="A7" t="inlineStr">
        <is>
          <t>Conso réf</t>
        </is>
      </c>
      <c r="B7" s="3" t="n">
        <v>45</v>
      </c>
      <c r="C7" t="inlineStr">
        <is>
          <t>L/100 km</t>
        </is>
      </c>
    </row>
    <row r="8">
      <c r="A8" t="inlineStr">
        <is>
          <t>Entretien réf</t>
        </is>
      </c>
      <c r="B8" s="3" t="n">
        <v>0.95</v>
      </c>
      <c r="C8" t="inlineStr">
        <is>
          <t>$/km</t>
        </is>
      </c>
    </row>
    <row r="9">
      <c r="A9" t="inlineStr">
        <is>
          <t>Prix alt avant taxes</t>
        </is>
      </c>
      <c r="B9" s="3" t="n">
        <v>1720000</v>
      </c>
      <c r="C9" t="inlineStr">
        <is>
          <t>$</t>
        </is>
      </c>
    </row>
    <row r="10">
      <c r="A10" t="inlineStr">
        <is>
          <t>Conso alt (nominale tempérée)</t>
        </is>
      </c>
      <c r="B10" s="3" t="n">
        <v>140</v>
      </c>
      <c r="C10" t="inlineStr">
        <is>
          <t>kWh/100 km</t>
        </is>
      </c>
    </row>
    <row r="11">
      <c r="A11" t="inlineStr">
        <is>
          <t>Entretien alt</t>
        </is>
      </c>
      <c r="B11" s="3" t="n">
        <v>0.7</v>
      </c>
      <c r="C11" t="inlineStr">
        <is>
          <t>$/km</t>
        </is>
      </c>
    </row>
    <row r="12">
      <c r="A12" t="inlineStr">
        <is>
          <t>Subvention (montant)</t>
        </is>
      </c>
      <c r="B12" s="3" t="n">
        <v>0</v>
      </c>
      <c r="C12" t="inlineStr">
        <is>
          <t>$</t>
        </is>
      </c>
    </row>
    <row r="13">
      <c r="A13" t="inlineStr">
        <is>
          <t>Subvention (année de versement)</t>
        </is>
      </c>
      <c r="B13" s="3" t="n">
        <v>1</v>
      </c>
      <c r="C13" t="inlineStr">
        <is>
          <t>année</t>
        </is>
      </c>
    </row>
    <row r="14">
      <c r="A14" t="inlineStr">
        <is>
          <t>Infra — capex avant taxes</t>
        </is>
      </c>
      <c r="B14" s="3" t="n">
        <v>250000</v>
      </c>
      <c r="C14" t="inlineStr">
        <is>
          <t>$</t>
        </is>
      </c>
    </row>
    <row r="15">
      <c r="A15" t="inlineStr">
        <is>
          <t>FE diesel TTW (choix catégorie)</t>
        </is>
      </c>
      <c r="B15" s="4">
        <f>fe_lourd</f>
        <v/>
      </c>
      <c r="C15" t="inlineStr">
        <is>
          <t>kg CO2e/L</t>
        </is>
      </c>
    </row>
    <row r="17">
      <c r="A17" s="2" t="inlineStr">
        <is>
          <t>Valeurs dérivées (formules)</t>
        </is>
      </c>
    </row>
    <row r="18">
      <c r="A18" t="inlineStr">
        <is>
          <t>Prix réf avec taxes non récupérables</t>
        </is>
      </c>
      <c r="B18" s="4">
        <f>$B$6*(1+taux_taxes)</f>
        <v/>
      </c>
    </row>
    <row r="19">
      <c r="A19" t="inlineStr">
        <is>
          <t>Prix alt avec taxes non récupérables</t>
        </is>
      </c>
      <c r="B19" s="4">
        <f>$B$9*(1+taux_taxes)</f>
        <v/>
      </c>
    </row>
    <row r="20">
      <c r="A20" t="inlineStr">
        <is>
          <t>Infra avec taxes non récupérables</t>
        </is>
      </c>
      <c r="B20" s="4">
        <f>$B$14*(1+taux_taxes)</f>
        <v/>
      </c>
    </row>
    <row r="21">
      <c r="A21" t="inlineStr">
        <is>
          <t>Conso alt facturée (compteur ou pompe) /100 km</t>
        </is>
      </c>
      <c r="B21" s="4">
        <f>$B$10*fact_hiver/rendement</f>
        <v/>
      </c>
    </row>
    <row r="22">
      <c r="A22" t="inlineStr">
        <is>
          <t>VR réf fin d'horizon (avant taxes, nominale, géométrique planchée)</t>
        </is>
      </c>
      <c r="B22" s="4">
        <f>MAX($B$6*(1-d_diesel)^$B$4,plancher_vr*$B$6)</f>
        <v/>
      </c>
    </row>
    <row r="23">
      <c r="A23" t="inlineStr">
        <is>
          <t>VR alt fin d'horizon (avant taxes, nominale, géométrique planchée)</t>
        </is>
      </c>
      <c r="B23" s="4">
        <f>MAX($B$9*(1-d_bev)^$B$4,plancher_vr*$B$9)</f>
        <v/>
      </c>
    </row>
    <row r="24">
      <c r="A24" t="inlineStr">
        <is>
          <t>Année de ré-achat de l'infra (vide si aucun)</t>
        </is>
      </c>
      <c r="B24" s="4">
        <f>IF(AND($B$14&gt;0,$B$4&gt;duree_vie_infra),duree_vie_infra,"")</f>
        <v/>
      </c>
    </row>
    <row r="25">
      <c r="A25" t="inlineStr">
        <is>
          <t>VR infra fin d'horizon (linéaire, dernier équipement, capex indexé)</t>
        </is>
      </c>
      <c r="B25" s="4">
        <f>IF($B$14=0,0,IF($B$4&gt;duree_vie_infra,$B$14*(1+g_general)^duree_vie_infra*(duree_vie_infra-($B$4-duree_vie_infra))/duree_vie_infra,$B$14*(duree_vie_infra-$B$4)/duree_vie_infra))</f>
        <v/>
      </c>
    </row>
    <row r="28">
      <c r="A28" s="2" t="inlineStr">
        <is>
          <t>n</t>
        </is>
      </c>
      <c r="B28" s="2" t="inlineStr">
        <is>
          <t>Acquisition alt</t>
        </is>
      </c>
      <c r="C28" s="2" t="inlineStr">
        <is>
          <t>Subventions</t>
        </is>
      </c>
      <c r="D28" s="2" t="inlineStr">
        <is>
          <t>Énergie alt</t>
        </is>
      </c>
      <c r="E28" s="2" t="inlineStr">
        <is>
          <t>Entretien alt</t>
        </is>
      </c>
      <c r="F28" s="2" t="inlineStr">
        <is>
          <t>Opex infra</t>
        </is>
      </c>
      <c r="G28" s="2" t="inlineStr">
        <is>
          <t>Résiduels alt</t>
        </is>
      </c>
      <c r="H28" s="2" t="inlineStr">
        <is>
          <t>Flux net alt</t>
        </is>
      </c>
      <c r="I28" s="2" t="inlineStr">
        <is>
          <t>Acquisition réf</t>
        </is>
      </c>
      <c r="J28" s="2" t="inlineStr">
        <is>
          <t>Énergie réf</t>
        </is>
      </c>
      <c r="K28" s="2" t="inlineStr">
        <is>
          <t>Entretien réf</t>
        </is>
      </c>
      <c r="L28" s="2" t="inlineStr">
        <is>
          <t>Résiduels réf</t>
        </is>
      </c>
      <c r="M28" s="2" t="inlineStr">
        <is>
          <t>Flux net réf</t>
        </is>
      </c>
      <c r="N28" s="2" t="inlineStr">
        <is>
          <t>Économie nominale</t>
        </is>
      </c>
      <c r="O28" s="2" t="inlineStr">
        <is>
          <t>Facteur actualisation</t>
        </is>
      </c>
      <c r="P28" s="2" t="inlineStr">
        <is>
          <t>Flux act. alt</t>
        </is>
      </c>
      <c r="Q28" s="2" t="inlineStr">
        <is>
          <t>Flux act. réf</t>
        </is>
      </c>
      <c r="R28" s="2" t="inlineStr">
        <is>
          <t>Cumul économie nominale</t>
        </is>
      </c>
      <c r="S28" s="2" t="inlineStr">
        <is>
          <t>Cumul économie actualisée</t>
        </is>
      </c>
      <c r="T28" s="2" t="inlineStr">
        <is>
          <t>km actualisés</t>
        </is>
      </c>
      <c r="U28" s="2" t="inlineStr">
        <is>
          <t>n si cumul nominal &gt;= 0</t>
        </is>
      </c>
      <c r="V28" s="2" t="inlineStr">
        <is>
          <t>n si cumul actualisé &gt;= 0</t>
        </is>
      </c>
      <c r="W28" s="2" t="inlineStr">
        <is>
          <t>TTW réf (t)</t>
        </is>
      </c>
      <c r="X28" s="2" t="inlineStr">
        <is>
          <t>WTW réf (t)</t>
        </is>
      </c>
      <c r="Y28" s="2" t="inlineStr">
        <is>
          <t>WTW alt (t)</t>
        </is>
      </c>
    </row>
    <row r="29">
      <c r="A29" t="n">
        <v>0</v>
      </c>
      <c r="B29" s="5">
        <f>IF(A29=0,$B$19+$B$20,IF(A29=$B$24,$B$14*(1+g_general)^A29*(1+taux_taxes),0))</f>
        <v/>
      </c>
      <c r="C29" s="5">
        <f>IF(A29=$B$13,$B$12,0)</f>
        <v/>
      </c>
      <c r="D29" s="5">
        <f>IF(A29=0,0,$B$5*$B$21/100*prix_elec*(1+g_elec)^A29*(1+taux_taxes))</f>
        <v/>
      </c>
      <c r="E29" s="5">
        <f>IF(A29=0,0,$B$5*$B$11*(1+g_entretien)^A29*(1+taux_taxes))</f>
        <v/>
      </c>
      <c r="F29" s="5">
        <f>IF(A29=0,0,infra_entretien_pct*$B$14*(1+g_entretien)^A29*(1+taux_taxes))</f>
        <v/>
      </c>
      <c r="G29" s="5">
        <f>IF(A29=$B$4,$B$23+$B$25,0)</f>
        <v/>
      </c>
      <c r="H29" s="5">
        <f>B29-C29+D29+E29+F29-G29</f>
        <v/>
      </c>
      <c r="I29" s="5">
        <f>IF(A29=0,$B$18,0)</f>
        <v/>
      </c>
      <c r="J29" s="5">
        <f>IF(A29=0,0,$B$5*$B$7/100*prix_diesel*(1+g_diesel)^A29*(1+taux_taxes))</f>
        <v/>
      </c>
      <c r="K29" s="5">
        <f>IF(A29=0,0,$B$5*$B$8*(1+g_entretien)^A29*(1+taux_taxes))</f>
        <v/>
      </c>
      <c r="L29" s="5">
        <f>IF(A29=$B$4,$B$22,0)</f>
        <v/>
      </c>
      <c r="M29" s="5">
        <f>I29+J29+K29-L29</f>
        <v/>
      </c>
      <c r="N29" s="5">
        <f>M29-H29</f>
        <v/>
      </c>
      <c r="O29" s="5">
        <f>1/(1+taux_r)^A29</f>
        <v/>
      </c>
      <c r="P29" s="5">
        <f>H29*O29</f>
        <v/>
      </c>
      <c r="Q29" s="5">
        <f>M29*O29</f>
        <v/>
      </c>
      <c r="R29" s="5">
        <f>N29</f>
        <v/>
      </c>
      <c r="S29" s="5">
        <f>N29*O29</f>
        <v/>
      </c>
      <c r="T29" s="5">
        <f>IF(A29=0,0,$B$5*O29)</f>
        <v/>
      </c>
      <c r="U29" s="6">
        <f>IF(R29&gt;=0,A29,"")</f>
        <v/>
      </c>
      <c r="V29" s="6">
        <f>IF(S29&gt;=0,A29,"")</f>
        <v/>
      </c>
      <c r="W29" s="6">
        <f>IF(A29=0,0,$B$5*$B$7/100*$B$15/1000)</f>
        <v/>
      </c>
      <c r="X29" s="6">
        <f>W29*ratio_wtw</f>
        <v/>
      </c>
      <c r="Y29" s="6">
        <f>IF(A29=0,0,$B$5*$B$21/100*fe_elec/1000000)</f>
        <v/>
      </c>
    </row>
    <row r="30">
      <c r="A30">
        <f>A29+1</f>
        <v/>
      </c>
      <c r="B30" s="5">
        <f>IF(A30=0,$B$19+$B$20,IF(A30=$B$24,$B$14*(1+g_general)^A30*(1+taux_taxes),0))</f>
        <v/>
      </c>
      <c r="C30" s="5">
        <f>IF(A30=$B$13,$B$12,0)</f>
        <v/>
      </c>
      <c r="D30" s="5">
        <f>IF(A30=0,0,$B$5*$B$21/100*prix_elec*(1+g_elec)^A30*(1+taux_taxes))</f>
        <v/>
      </c>
      <c r="E30" s="5">
        <f>IF(A30=0,0,$B$5*$B$11*(1+g_entretien)^A30*(1+taux_taxes))</f>
        <v/>
      </c>
      <c r="F30" s="5">
        <f>IF(A30=0,0,infra_entretien_pct*$B$14*(1+g_entretien)^A30*(1+taux_taxes))</f>
        <v/>
      </c>
      <c r="G30" s="5">
        <f>IF(A30=$B$4,$B$23+$B$25,0)</f>
        <v/>
      </c>
      <c r="H30" s="5">
        <f>B30-C30+D30+E30+F30-G30</f>
        <v/>
      </c>
      <c r="I30" s="5">
        <f>IF(A30=0,$B$18,0)</f>
        <v/>
      </c>
      <c r="J30" s="5">
        <f>IF(A30=0,0,$B$5*$B$7/100*prix_diesel*(1+g_diesel)^A30*(1+taux_taxes))</f>
        <v/>
      </c>
      <c r="K30" s="5">
        <f>IF(A30=0,0,$B$5*$B$8*(1+g_entretien)^A30*(1+taux_taxes))</f>
        <v/>
      </c>
      <c r="L30" s="5">
        <f>IF(A30=$B$4,$B$22,0)</f>
        <v/>
      </c>
      <c r="M30" s="5">
        <f>I30+J30+K30-L30</f>
        <v/>
      </c>
      <c r="N30" s="5">
        <f>M30-H30</f>
        <v/>
      </c>
      <c r="O30" s="5">
        <f>1/(1+taux_r)^A30</f>
        <v/>
      </c>
      <c r="P30" s="5">
        <f>H30*O30</f>
        <v/>
      </c>
      <c r="Q30" s="5">
        <f>M30*O30</f>
        <v/>
      </c>
      <c r="R30" s="5">
        <f>R29+N30</f>
        <v/>
      </c>
      <c r="S30" s="5">
        <f>S29+N30*O30</f>
        <v/>
      </c>
      <c r="T30" s="5">
        <f>IF(A30=0,0,$B$5*O30)</f>
        <v/>
      </c>
      <c r="U30" s="6">
        <f>IF(R30&gt;=0,A30,"")</f>
        <v/>
      </c>
      <c r="V30" s="6">
        <f>IF(S30&gt;=0,A30,"")</f>
        <v/>
      </c>
      <c r="W30" s="6">
        <f>IF(A30=0,0,$B$5*$B$7/100*$B$15/1000)</f>
        <v/>
      </c>
      <c r="X30" s="6">
        <f>W30*ratio_wtw</f>
        <v/>
      </c>
      <c r="Y30" s="6">
        <f>IF(A30=0,0,$B$5*$B$21/100*fe_elec/1000000)</f>
        <v/>
      </c>
    </row>
    <row r="31">
      <c r="A31">
        <f>A30+1</f>
        <v/>
      </c>
      <c r="B31" s="5">
        <f>IF(A31=0,$B$19+$B$20,IF(A31=$B$24,$B$14*(1+g_general)^A31*(1+taux_taxes),0))</f>
        <v/>
      </c>
      <c r="C31" s="5">
        <f>IF(A31=$B$13,$B$12,0)</f>
        <v/>
      </c>
      <c r="D31" s="5">
        <f>IF(A31=0,0,$B$5*$B$21/100*prix_elec*(1+g_elec)^A31*(1+taux_taxes))</f>
        <v/>
      </c>
      <c r="E31" s="5">
        <f>IF(A31=0,0,$B$5*$B$11*(1+g_entretien)^A31*(1+taux_taxes))</f>
        <v/>
      </c>
      <c r="F31" s="5">
        <f>IF(A31=0,0,infra_entretien_pct*$B$14*(1+g_entretien)^A31*(1+taux_taxes))</f>
        <v/>
      </c>
      <c r="G31" s="5">
        <f>IF(A31=$B$4,$B$23+$B$25,0)</f>
        <v/>
      </c>
      <c r="H31" s="5">
        <f>B31-C31+D31+E31+F31-G31</f>
        <v/>
      </c>
      <c r="I31" s="5">
        <f>IF(A31=0,$B$18,0)</f>
        <v/>
      </c>
      <c r="J31" s="5">
        <f>IF(A31=0,0,$B$5*$B$7/100*prix_diesel*(1+g_diesel)^A31*(1+taux_taxes))</f>
        <v/>
      </c>
      <c r="K31" s="5">
        <f>IF(A31=0,0,$B$5*$B$8*(1+g_entretien)^A31*(1+taux_taxes))</f>
        <v/>
      </c>
      <c r="L31" s="5">
        <f>IF(A31=$B$4,$B$22,0)</f>
        <v/>
      </c>
      <c r="M31" s="5">
        <f>I31+J31+K31-L31</f>
        <v/>
      </c>
      <c r="N31" s="5">
        <f>M31-H31</f>
        <v/>
      </c>
      <c r="O31" s="5">
        <f>1/(1+taux_r)^A31</f>
        <v/>
      </c>
      <c r="P31" s="5">
        <f>H31*O31</f>
        <v/>
      </c>
      <c r="Q31" s="5">
        <f>M31*O31</f>
        <v/>
      </c>
      <c r="R31" s="5">
        <f>R30+N31</f>
        <v/>
      </c>
      <c r="S31" s="5">
        <f>S30+N31*O31</f>
        <v/>
      </c>
      <c r="T31" s="5">
        <f>IF(A31=0,0,$B$5*O31)</f>
        <v/>
      </c>
      <c r="U31" s="6">
        <f>IF(R31&gt;=0,A31,"")</f>
        <v/>
      </c>
      <c r="V31" s="6">
        <f>IF(S31&gt;=0,A31,"")</f>
        <v/>
      </c>
      <c r="W31" s="6">
        <f>IF(A31=0,0,$B$5*$B$7/100*$B$15/1000)</f>
        <v/>
      </c>
      <c r="X31" s="6">
        <f>W31*ratio_wtw</f>
        <v/>
      </c>
      <c r="Y31" s="6">
        <f>IF(A31=0,0,$B$5*$B$21/100*fe_elec/1000000)</f>
        <v/>
      </c>
    </row>
    <row r="32">
      <c r="A32">
        <f>A31+1</f>
        <v/>
      </c>
      <c r="B32" s="5">
        <f>IF(A32=0,$B$19+$B$20,IF(A32=$B$24,$B$14*(1+g_general)^A32*(1+taux_taxes),0))</f>
        <v/>
      </c>
      <c r="C32" s="5">
        <f>IF(A32=$B$13,$B$12,0)</f>
        <v/>
      </c>
      <c r="D32" s="5">
        <f>IF(A32=0,0,$B$5*$B$21/100*prix_elec*(1+g_elec)^A32*(1+taux_taxes))</f>
        <v/>
      </c>
      <c r="E32" s="5">
        <f>IF(A32=0,0,$B$5*$B$11*(1+g_entretien)^A32*(1+taux_taxes))</f>
        <v/>
      </c>
      <c r="F32" s="5">
        <f>IF(A32=0,0,infra_entretien_pct*$B$14*(1+g_entretien)^A32*(1+taux_taxes))</f>
        <v/>
      </c>
      <c r="G32" s="5">
        <f>IF(A32=$B$4,$B$23+$B$25,0)</f>
        <v/>
      </c>
      <c r="H32" s="5">
        <f>B32-C32+D32+E32+F32-G32</f>
        <v/>
      </c>
      <c r="I32" s="5">
        <f>IF(A32=0,$B$18,0)</f>
        <v/>
      </c>
      <c r="J32" s="5">
        <f>IF(A32=0,0,$B$5*$B$7/100*prix_diesel*(1+g_diesel)^A32*(1+taux_taxes))</f>
        <v/>
      </c>
      <c r="K32" s="5">
        <f>IF(A32=0,0,$B$5*$B$8*(1+g_entretien)^A32*(1+taux_taxes))</f>
        <v/>
      </c>
      <c r="L32" s="5">
        <f>IF(A32=$B$4,$B$22,0)</f>
        <v/>
      </c>
      <c r="M32" s="5">
        <f>I32+J32+K32-L32</f>
        <v/>
      </c>
      <c r="N32" s="5">
        <f>M32-H32</f>
        <v/>
      </c>
      <c r="O32" s="5">
        <f>1/(1+taux_r)^A32</f>
        <v/>
      </c>
      <c r="P32" s="5">
        <f>H32*O32</f>
        <v/>
      </c>
      <c r="Q32" s="5">
        <f>M32*O32</f>
        <v/>
      </c>
      <c r="R32" s="5">
        <f>R31+N32</f>
        <v/>
      </c>
      <c r="S32" s="5">
        <f>S31+N32*O32</f>
        <v/>
      </c>
      <c r="T32" s="5">
        <f>IF(A32=0,0,$B$5*O32)</f>
        <v/>
      </c>
      <c r="U32" s="6">
        <f>IF(R32&gt;=0,A32,"")</f>
        <v/>
      </c>
      <c r="V32" s="6">
        <f>IF(S32&gt;=0,A32,"")</f>
        <v/>
      </c>
      <c r="W32" s="6">
        <f>IF(A32=0,0,$B$5*$B$7/100*$B$15/1000)</f>
        <v/>
      </c>
      <c r="X32" s="6">
        <f>W32*ratio_wtw</f>
        <v/>
      </c>
      <c r="Y32" s="6">
        <f>IF(A32=0,0,$B$5*$B$21/100*fe_elec/1000000)</f>
        <v/>
      </c>
    </row>
    <row r="33">
      <c r="A33">
        <f>A32+1</f>
        <v/>
      </c>
      <c r="B33" s="5">
        <f>IF(A33=0,$B$19+$B$20,IF(A33=$B$24,$B$14*(1+g_general)^A33*(1+taux_taxes),0))</f>
        <v/>
      </c>
      <c r="C33" s="5">
        <f>IF(A33=$B$13,$B$12,0)</f>
        <v/>
      </c>
      <c r="D33" s="5">
        <f>IF(A33=0,0,$B$5*$B$21/100*prix_elec*(1+g_elec)^A33*(1+taux_taxes))</f>
        <v/>
      </c>
      <c r="E33" s="5">
        <f>IF(A33=0,0,$B$5*$B$11*(1+g_entretien)^A33*(1+taux_taxes))</f>
        <v/>
      </c>
      <c r="F33" s="5">
        <f>IF(A33=0,0,infra_entretien_pct*$B$14*(1+g_entretien)^A33*(1+taux_taxes))</f>
        <v/>
      </c>
      <c r="G33" s="5">
        <f>IF(A33=$B$4,$B$23+$B$25,0)</f>
        <v/>
      </c>
      <c r="H33" s="5">
        <f>B33-C33+D33+E33+F33-G33</f>
        <v/>
      </c>
      <c r="I33" s="5">
        <f>IF(A33=0,$B$18,0)</f>
        <v/>
      </c>
      <c r="J33" s="5">
        <f>IF(A33=0,0,$B$5*$B$7/100*prix_diesel*(1+g_diesel)^A33*(1+taux_taxes))</f>
        <v/>
      </c>
      <c r="K33" s="5">
        <f>IF(A33=0,0,$B$5*$B$8*(1+g_entretien)^A33*(1+taux_taxes))</f>
        <v/>
      </c>
      <c r="L33" s="5">
        <f>IF(A33=$B$4,$B$22,0)</f>
        <v/>
      </c>
      <c r="M33" s="5">
        <f>I33+J33+K33-L33</f>
        <v/>
      </c>
      <c r="N33" s="5">
        <f>M33-H33</f>
        <v/>
      </c>
      <c r="O33" s="5">
        <f>1/(1+taux_r)^A33</f>
        <v/>
      </c>
      <c r="P33" s="5">
        <f>H33*O33</f>
        <v/>
      </c>
      <c r="Q33" s="5">
        <f>M33*O33</f>
        <v/>
      </c>
      <c r="R33" s="5">
        <f>R32+N33</f>
        <v/>
      </c>
      <c r="S33" s="5">
        <f>S32+N33*O33</f>
        <v/>
      </c>
      <c r="T33" s="5">
        <f>IF(A33=0,0,$B$5*O33)</f>
        <v/>
      </c>
      <c r="U33" s="6">
        <f>IF(R33&gt;=0,A33,"")</f>
        <v/>
      </c>
      <c r="V33" s="6">
        <f>IF(S33&gt;=0,A33,"")</f>
        <v/>
      </c>
      <c r="W33" s="6">
        <f>IF(A33=0,0,$B$5*$B$7/100*$B$15/1000)</f>
        <v/>
      </c>
      <c r="X33" s="6">
        <f>W33*ratio_wtw</f>
        <v/>
      </c>
      <c r="Y33" s="6">
        <f>IF(A33=0,0,$B$5*$B$21/100*fe_elec/1000000)</f>
        <v/>
      </c>
    </row>
    <row r="34">
      <c r="A34">
        <f>A33+1</f>
        <v/>
      </c>
      <c r="B34" s="5">
        <f>IF(A34=0,$B$19+$B$20,IF(A34=$B$24,$B$14*(1+g_general)^A34*(1+taux_taxes),0))</f>
        <v/>
      </c>
      <c r="C34" s="5">
        <f>IF(A34=$B$13,$B$12,0)</f>
        <v/>
      </c>
      <c r="D34" s="5">
        <f>IF(A34=0,0,$B$5*$B$21/100*prix_elec*(1+g_elec)^A34*(1+taux_taxes))</f>
        <v/>
      </c>
      <c r="E34" s="5">
        <f>IF(A34=0,0,$B$5*$B$11*(1+g_entretien)^A34*(1+taux_taxes))</f>
        <v/>
      </c>
      <c r="F34" s="5">
        <f>IF(A34=0,0,infra_entretien_pct*$B$14*(1+g_entretien)^A34*(1+taux_taxes))</f>
        <v/>
      </c>
      <c r="G34" s="5">
        <f>IF(A34=$B$4,$B$23+$B$25,0)</f>
        <v/>
      </c>
      <c r="H34" s="5">
        <f>B34-C34+D34+E34+F34-G34</f>
        <v/>
      </c>
      <c r="I34" s="5">
        <f>IF(A34=0,$B$18,0)</f>
        <v/>
      </c>
      <c r="J34" s="5">
        <f>IF(A34=0,0,$B$5*$B$7/100*prix_diesel*(1+g_diesel)^A34*(1+taux_taxes))</f>
        <v/>
      </c>
      <c r="K34" s="5">
        <f>IF(A34=0,0,$B$5*$B$8*(1+g_entretien)^A34*(1+taux_taxes))</f>
        <v/>
      </c>
      <c r="L34" s="5">
        <f>IF(A34=$B$4,$B$22,0)</f>
        <v/>
      </c>
      <c r="M34" s="5">
        <f>I34+J34+K34-L34</f>
        <v/>
      </c>
      <c r="N34" s="5">
        <f>M34-H34</f>
        <v/>
      </c>
      <c r="O34" s="5">
        <f>1/(1+taux_r)^A34</f>
        <v/>
      </c>
      <c r="P34" s="5">
        <f>H34*O34</f>
        <v/>
      </c>
      <c r="Q34" s="5">
        <f>M34*O34</f>
        <v/>
      </c>
      <c r="R34" s="5">
        <f>R33+N34</f>
        <v/>
      </c>
      <c r="S34" s="5">
        <f>S33+N34*O34</f>
        <v/>
      </c>
      <c r="T34" s="5">
        <f>IF(A34=0,0,$B$5*O34)</f>
        <v/>
      </c>
      <c r="U34" s="6">
        <f>IF(R34&gt;=0,A34,"")</f>
        <v/>
      </c>
      <c r="V34" s="6">
        <f>IF(S34&gt;=0,A34,"")</f>
        <v/>
      </c>
      <c r="W34" s="6">
        <f>IF(A34=0,0,$B$5*$B$7/100*$B$15/1000)</f>
        <v/>
      </c>
      <c r="X34" s="6">
        <f>W34*ratio_wtw</f>
        <v/>
      </c>
      <c r="Y34" s="6">
        <f>IF(A34=0,0,$B$5*$B$21/100*fe_elec/1000000)</f>
        <v/>
      </c>
    </row>
    <row r="35">
      <c r="A35">
        <f>A34+1</f>
        <v/>
      </c>
      <c r="B35" s="5">
        <f>IF(A35=0,$B$19+$B$20,IF(A35=$B$24,$B$14*(1+g_general)^A35*(1+taux_taxes),0))</f>
        <v/>
      </c>
      <c r="C35" s="5">
        <f>IF(A35=$B$13,$B$12,0)</f>
        <v/>
      </c>
      <c r="D35" s="5">
        <f>IF(A35=0,0,$B$5*$B$21/100*prix_elec*(1+g_elec)^A35*(1+taux_taxes))</f>
        <v/>
      </c>
      <c r="E35" s="5">
        <f>IF(A35=0,0,$B$5*$B$11*(1+g_entretien)^A35*(1+taux_taxes))</f>
        <v/>
      </c>
      <c r="F35" s="5">
        <f>IF(A35=0,0,infra_entretien_pct*$B$14*(1+g_entretien)^A35*(1+taux_taxes))</f>
        <v/>
      </c>
      <c r="G35" s="5">
        <f>IF(A35=$B$4,$B$23+$B$25,0)</f>
        <v/>
      </c>
      <c r="H35" s="5">
        <f>B35-C35+D35+E35+F35-G35</f>
        <v/>
      </c>
      <c r="I35" s="5">
        <f>IF(A35=0,$B$18,0)</f>
        <v/>
      </c>
      <c r="J35" s="5">
        <f>IF(A35=0,0,$B$5*$B$7/100*prix_diesel*(1+g_diesel)^A35*(1+taux_taxes))</f>
        <v/>
      </c>
      <c r="K35" s="5">
        <f>IF(A35=0,0,$B$5*$B$8*(1+g_entretien)^A35*(1+taux_taxes))</f>
        <v/>
      </c>
      <c r="L35" s="5">
        <f>IF(A35=$B$4,$B$22,0)</f>
        <v/>
      </c>
      <c r="M35" s="5">
        <f>I35+J35+K35-L35</f>
        <v/>
      </c>
      <c r="N35" s="5">
        <f>M35-H35</f>
        <v/>
      </c>
      <c r="O35" s="5">
        <f>1/(1+taux_r)^A35</f>
        <v/>
      </c>
      <c r="P35" s="5">
        <f>H35*O35</f>
        <v/>
      </c>
      <c r="Q35" s="5">
        <f>M35*O35</f>
        <v/>
      </c>
      <c r="R35" s="5">
        <f>R34+N35</f>
        <v/>
      </c>
      <c r="S35" s="5">
        <f>S34+N35*O35</f>
        <v/>
      </c>
      <c r="T35" s="5">
        <f>IF(A35=0,0,$B$5*O35)</f>
        <v/>
      </c>
      <c r="U35" s="6">
        <f>IF(R35&gt;=0,A35,"")</f>
        <v/>
      </c>
      <c r="V35" s="6">
        <f>IF(S35&gt;=0,A35,"")</f>
        <v/>
      </c>
      <c r="W35" s="6">
        <f>IF(A35=0,0,$B$5*$B$7/100*$B$15/1000)</f>
        <v/>
      </c>
      <c r="X35" s="6">
        <f>W35*ratio_wtw</f>
        <v/>
      </c>
      <c r="Y35" s="6">
        <f>IF(A35=0,0,$B$5*$B$21/100*fe_elec/1000000)</f>
        <v/>
      </c>
    </row>
    <row r="36">
      <c r="A36">
        <f>A35+1</f>
        <v/>
      </c>
      <c r="B36" s="5">
        <f>IF(A36=0,$B$19+$B$20,IF(A36=$B$24,$B$14*(1+g_general)^A36*(1+taux_taxes),0))</f>
        <v/>
      </c>
      <c r="C36" s="5">
        <f>IF(A36=$B$13,$B$12,0)</f>
        <v/>
      </c>
      <c r="D36" s="5">
        <f>IF(A36=0,0,$B$5*$B$21/100*prix_elec*(1+g_elec)^A36*(1+taux_taxes))</f>
        <v/>
      </c>
      <c r="E36" s="5">
        <f>IF(A36=0,0,$B$5*$B$11*(1+g_entretien)^A36*(1+taux_taxes))</f>
        <v/>
      </c>
      <c r="F36" s="5">
        <f>IF(A36=0,0,infra_entretien_pct*$B$14*(1+g_entretien)^A36*(1+taux_taxes))</f>
        <v/>
      </c>
      <c r="G36" s="5">
        <f>IF(A36=$B$4,$B$23+$B$25,0)</f>
        <v/>
      </c>
      <c r="H36" s="5">
        <f>B36-C36+D36+E36+F36-G36</f>
        <v/>
      </c>
      <c r="I36" s="5">
        <f>IF(A36=0,$B$18,0)</f>
        <v/>
      </c>
      <c r="J36" s="5">
        <f>IF(A36=0,0,$B$5*$B$7/100*prix_diesel*(1+g_diesel)^A36*(1+taux_taxes))</f>
        <v/>
      </c>
      <c r="K36" s="5">
        <f>IF(A36=0,0,$B$5*$B$8*(1+g_entretien)^A36*(1+taux_taxes))</f>
        <v/>
      </c>
      <c r="L36" s="5">
        <f>IF(A36=$B$4,$B$22,0)</f>
        <v/>
      </c>
      <c r="M36" s="5">
        <f>I36+J36+K36-L36</f>
        <v/>
      </c>
      <c r="N36" s="5">
        <f>M36-H36</f>
        <v/>
      </c>
      <c r="O36" s="5">
        <f>1/(1+taux_r)^A36</f>
        <v/>
      </c>
      <c r="P36" s="5">
        <f>H36*O36</f>
        <v/>
      </c>
      <c r="Q36" s="5">
        <f>M36*O36</f>
        <v/>
      </c>
      <c r="R36" s="5">
        <f>R35+N36</f>
        <v/>
      </c>
      <c r="S36" s="5">
        <f>S35+N36*O36</f>
        <v/>
      </c>
      <c r="T36" s="5">
        <f>IF(A36=0,0,$B$5*O36)</f>
        <v/>
      </c>
      <c r="U36" s="6">
        <f>IF(R36&gt;=0,A36,"")</f>
        <v/>
      </c>
      <c r="V36" s="6">
        <f>IF(S36&gt;=0,A36,"")</f>
        <v/>
      </c>
      <c r="W36" s="6">
        <f>IF(A36=0,0,$B$5*$B$7/100*$B$15/1000)</f>
        <v/>
      </c>
      <c r="X36" s="6">
        <f>W36*ratio_wtw</f>
        <v/>
      </c>
      <c r="Y36" s="6">
        <f>IF(A36=0,0,$B$5*$B$21/100*fe_elec/1000000)</f>
        <v/>
      </c>
    </row>
    <row r="37">
      <c r="A37">
        <f>A36+1</f>
        <v/>
      </c>
      <c r="B37" s="5">
        <f>IF(A37=0,$B$19+$B$20,IF(A37=$B$24,$B$14*(1+g_general)^A37*(1+taux_taxes),0))</f>
        <v/>
      </c>
      <c r="C37" s="5">
        <f>IF(A37=$B$13,$B$12,0)</f>
        <v/>
      </c>
      <c r="D37" s="5">
        <f>IF(A37=0,0,$B$5*$B$21/100*prix_elec*(1+g_elec)^A37*(1+taux_taxes))</f>
        <v/>
      </c>
      <c r="E37" s="5">
        <f>IF(A37=0,0,$B$5*$B$11*(1+g_entretien)^A37*(1+taux_taxes))</f>
        <v/>
      </c>
      <c r="F37" s="5">
        <f>IF(A37=0,0,infra_entretien_pct*$B$14*(1+g_entretien)^A37*(1+taux_taxes))</f>
        <v/>
      </c>
      <c r="G37" s="5">
        <f>IF(A37=$B$4,$B$23+$B$25,0)</f>
        <v/>
      </c>
      <c r="H37" s="5">
        <f>B37-C37+D37+E37+F37-G37</f>
        <v/>
      </c>
      <c r="I37" s="5">
        <f>IF(A37=0,$B$18,0)</f>
        <v/>
      </c>
      <c r="J37" s="5">
        <f>IF(A37=0,0,$B$5*$B$7/100*prix_diesel*(1+g_diesel)^A37*(1+taux_taxes))</f>
        <v/>
      </c>
      <c r="K37" s="5">
        <f>IF(A37=0,0,$B$5*$B$8*(1+g_entretien)^A37*(1+taux_taxes))</f>
        <v/>
      </c>
      <c r="L37" s="5">
        <f>IF(A37=$B$4,$B$22,0)</f>
        <v/>
      </c>
      <c r="M37" s="5">
        <f>I37+J37+K37-L37</f>
        <v/>
      </c>
      <c r="N37" s="5">
        <f>M37-H37</f>
        <v/>
      </c>
      <c r="O37" s="5">
        <f>1/(1+taux_r)^A37</f>
        <v/>
      </c>
      <c r="P37" s="5">
        <f>H37*O37</f>
        <v/>
      </c>
      <c r="Q37" s="5">
        <f>M37*O37</f>
        <v/>
      </c>
      <c r="R37" s="5">
        <f>R36+N37</f>
        <v/>
      </c>
      <c r="S37" s="5">
        <f>S36+N37*O37</f>
        <v/>
      </c>
      <c r="T37" s="5">
        <f>IF(A37=0,0,$B$5*O37)</f>
        <v/>
      </c>
      <c r="U37" s="6">
        <f>IF(R37&gt;=0,A37,"")</f>
        <v/>
      </c>
      <c r="V37" s="6">
        <f>IF(S37&gt;=0,A37,"")</f>
        <v/>
      </c>
      <c r="W37" s="6">
        <f>IF(A37=0,0,$B$5*$B$7/100*$B$15/1000)</f>
        <v/>
      </c>
      <c r="X37" s="6">
        <f>W37*ratio_wtw</f>
        <v/>
      </c>
      <c r="Y37" s="6">
        <f>IF(A37=0,0,$B$5*$B$21/100*fe_elec/1000000)</f>
        <v/>
      </c>
    </row>
    <row r="38">
      <c r="A38">
        <f>A37+1</f>
        <v/>
      </c>
      <c r="B38" s="5">
        <f>IF(A38=0,$B$19+$B$20,IF(A38=$B$24,$B$14*(1+g_general)^A38*(1+taux_taxes),0))</f>
        <v/>
      </c>
      <c r="C38" s="5">
        <f>IF(A38=$B$13,$B$12,0)</f>
        <v/>
      </c>
      <c r="D38" s="5">
        <f>IF(A38=0,0,$B$5*$B$21/100*prix_elec*(1+g_elec)^A38*(1+taux_taxes))</f>
        <v/>
      </c>
      <c r="E38" s="5">
        <f>IF(A38=0,0,$B$5*$B$11*(1+g_entretien)^A38*(1+taux_taxes))</f>
        <v/>
      </c>
      <c r="F38" s="5">
        <f>IF(A38=0,0,infra_entretien_pct*$B$14*(1+g_entretien)^A38*(1+taux_taxes))</f>
        <v/>
      </c>
      <c r="G38" s="5">
        <f>IF(A38=$B$4,$B$23+$B$25,0)</f>
        <v/>
      </c>
      <c r="H38" s="5">
        <f>B38-C38+D38+E38+F38-G38</f>
        <v/>
      </c>
      <c r="I38" s="5">
        <f>IF(A38=0,$B$18,0)</f>
        <v/>
      </c>
      <c r="J38" s="5">
        <f>IF(A38=0,0,$B$5*$B$7/100*prix_diesel*(1+g_diesel)^A38*(1+taux_taxes))</f>
        <v/>
      </c>
      <c r="K38" s="5">
        <f>IF(A38=0,0,$B$5*$B$8*(1+g_entretien)^A38*(1+taux_taxes))</f>
        <v/>
      </c>
      <c r="L38" s="5">
        <f>IF(A38=$B$4,$B$22,0)</f>
        <v/>
      </c>
      <c r="M38" s="5">
        <f>I38+J38+K38-L38</f>
        <v/>
      </c>
      <c r="N38" s="5">
        <f>M38-H38</f>
        <v/>
      </c>
      <c r="O38" s="5">
        <f>1/(1+taux_r)^A38</f>
        <v/>
      </c>
      <c r="P38" s="5">
        <f>H38*O38</f>
        <v/>
      </c>
      <c r="Q38" s="5">
        <f>M38*O38</f>
        <v/>
      </c>
      <c r="R38" s="5">
        <f>R37+N38</f>
        <v/>
      </c>
      <c r="S38" s="5">
        <f>S37+N38*O38</f>
        <v/>
      </c>
      <c r="T38" s="5">
        <f>IF(A38=0,0,$B$5*O38)</f>
        <v/>
      </c>
      <c r="U38" s="6">
        <f>IF(R38&gt;=0,A38,"")</f>
        <v/>
      </c>
      <c r="V38" s="6">
        <f>IF(S38&gt;=0,A38,"")</f>
        <v/>
      </c>
      <c r="W38" s="6">
        <f>IF(A38=0,0,$B$5*$B$7/100*$B$15/1000)</f>
        <v/>
      </c>
      <c r="X38" s="6">
        <f>W38*ratio_wtw</f>
        <v/>
      </c>
      <c r="Y38" s="6">
        <f>IF(A38=0,0,$B$5*$B$21/100*fe_elec/1000000)</f>
        <v/>
      </c>
    </row>
    <row r="39">
      <c r="A39">
        <f>A38+1</f>
        <v/>
      </c>
      <c r="B39" s="5">
        <f>IF(A39=0,$B$19+$B$20,IF(A39=$B$24,$B$14*(1+g_general)^A39*(1+taux_taxes),0))</f>
        <v/>
      </c>
      <c r="C39" s="5">
        <f>IF(A39=$B$13,$B$12,0)</f>
        <v/>
      </c>
      <c r="D39" s="5">
        <f>IF(A39=0,0,$B$5*$B$21/100*prix_elec*(1+g_elec)^A39*(1+taux_taxes))</f>
        <v/>
      </c>
      <c r="E39" s="5">
        <f>IF(A39=0,0,$B$5*$B$11*(1+g_entretien)^A39*(1+taux_taxes))</f>
        <v/>
      </c>
      <c r="F39" s="5">
        <f>IF(A39=0,0,infra_entretien_pct*$B$14*(1+g_entretien)^A39*(1+taux_taxes))</f>
        <v/>
      </c>
      <c r="G39" s="5">
        <f>IF(A39=$B$4,$B$23+$B$25,0)</f>
        <v/>
      </c>
      <c r="H39" s="5">
        <f>B39-C39+D39+E39+F39-G39</f>
        <v/>
      </c>
      <c r="I39" s="5">
        <f>IF(A39=0,$B$18,0)</f>
        <v/>
      </c>
      <c r="J39" s="5">
        <f>IF(A39=0,0,$B$5*$B$7/100*prix_diesel*(1+g_diesel)^A39*(1+taux_taxes))</f>
        <v/>
      </c>
      <c r="K39" s="5">
        <f>IF(A39=0,0,$B$5*$B$8*(1+g_entretien)^A39*(1+taux_taxes))</f>
        <v/>
      </c>
      <c r="L39" s="5">
        <f>IF(A39=$B$4,$B$22,0)</f>
        <v/>
      </c>
      <c r="M39" s="5">
        <f>I39+J39+K39-L39</f>
        <v/>
      </c>
      <c r="N39" s="5">
        <f>M39-H39</f>
        <v/>
      </c>
      <c r="O39" s="5">
        <f>1/(1+taux_r)^A39</f>
        <v/>
      </c>
      <c r="P39" s="5">
        <f>H39*O39</f>
        <v/>
      </c>
      <c r="Q39" s="5">
        <f>M39*O39</f>
        <v/>
      </c>
      <c r="R39" s="5">
        <f>R38+N39</f>
        <v/>
      </c>
      <c r="S39" s="5">
        <f>S38+N39*O39</f>
        <v/>
      </c>
      <c r="T39" s="5">
        <f>IF(A39=0,0,$B$5*O39)</f>
        <v/>
      </c>
      <c r="U39" s="6">
        <f>IF(R39&gt;=0,A39,"")</f>
        <v/>
      </c>
      <c r="V39" s="6">
        <f>IF(S39&gt;=0,A39,"")</f>
        <v/>
      </c>
      <c r="W39" s="6">
        <f>IF(A39=0,0,$B$5*$B$7/100*$B$15/1000)</f>
        <v/>
      </c>
      <c r="X39" s="6">
        <f>W39*ratio_wtw</f>
        <v/>
      </c>
      <c r="Y39" s="6">
        <f>IF(A39=0,0,$B$5*$B$21/100*fe_elec/1000000)</f>
        <v/>
      </c>
    </row>
    <row r="41">
      <c r="A41" s="2" t="inlineStr">
        <is>
          <t>Résultats (formules)</t>
        </is>
      </c>
      <c r="C41" s="2" t="inlineStr">
        <is>
          <t>Attendu (contre-calcul indépendant, JSON) — comparaison seulement</t>
        </is>
      </c>
    </row>
    <row r="42">
      <c r="A42" s="2" t="inlineStr">
        <is>
          <t>TCO actualisé — alternative ($)</t>
        </is>
      </c>
      <c r="B42" s="4">
        <f>SUM(P29:P39)</f>
        <v/>
      </c>
      <c r="C42" s="7" t="n">
        <v>2426314.81</v>
      </c>
    </row>
    <row r="43">
      <c r="A43" s="2" t="inlineStr">
        <is>
          <t>TCO actualisé — référence ($)</t>
        </is>
      </c>
      <c r="B43" s="4">
        <f>SUM(Q29:Q39)</f>
        <v/>
      </c>
      <c r="C43" s="7" t="n">
        <v>1686459.67</v>
      </c>
    </row>
    <row r="44">
      <c r="A44" s="2" t="inlineStr">
        <is>
          <t>VAN différentielle réf − alt ($)</t>
        </is>
      </c>
      <c r="B44" s="4">
        <f>B43-B42</f>
        <v/>
      </c>
      <c r="C44" s="7" t="n">
        <v>-739855.14</v>
      </c>
    </row>
    <row r="45">
      <c r="A45" s="2" t="inlineStr">
        <is>
          <t>km actualisés</t>
        </is>
      </c>
      <c r="B45" s="4">
        <f>SUM(T29:T39)</f>
        <v/>
      </c>
    </row>
    <row r="46">
      <c r="A46" s="2" t="inlineStr">
        <is>
          <t>TCO/km actualisé — alternative ($/km)</t>
        </is>
      </c>
      <c r="B46" s="4">
        <f>B42/B45</f>
        <v/>
      </c>
      <c r="C46" s="7" t="n">
        <v>5.237</v>
      </c>
    </row>
    <row r="47">
      <c r="A47" s="2" t="inlineStr">
        <is>
          <t>TCO/km actualisé — référence ($/km)</t>
        </is>
      </c>
      <c r="B47" s="4">
        <f>B43/B45</f>
        <v/>
      </c>
    </row>
    <row r="48">
      <c r="A48" s="2" t="inlineStr">
        <is>
          <t>Délai de récupération simple (années)</t>
        </is>
      </c>
      <c r="B48" s="4">
        <f>IF(COUNT(U29:U39)=0,"null : jamais atteint sur l'horizon",MIN(U29:U39))</f>
        <v/>
      </c>
      <c r="C48" s="7" t="inlineStr">
        <is>
          <t>null</t>
        </is>
      </c>
    </row>
    <row r="49">
      <c r="A49" s="2" t="inlineStr">
        <is>
          <t>Délai de récupération actualisé (années)</t>
        </is>
      </c>
      <c r="B49" s="4">
        <f>IF(COUNT(V29:V39)=0,"null : jamais atteint sur l'horizon",MIN(V29:V39))</f>
        <v/>
      </c>
      <c r="C49" s="7" t="inlineStr">
        <is>
          <t>null</t>
        </is>
      </c>
    </row>
    <row r="50">
      <c r="A50" s="2" t="inlineStr">
        <is>
          <t>CO2e évité cumulé TTW (t)</t>
        </is>
      </c>
      <c r="B50" s="4">
        <f>SUM(W29:W39)</f>
        <v/>
      </c>
      <c r="C50" s="7" t="n">
        <v>735.48</v>
      </c>
    </row>
    <row r="51">
      <c r="A51" s="2" t="inlineStr">
        <is>
          <t>CO2e évité cumulé WTW (t)</t>
        </is>
      </c>
      <c r="B51" s="4">
        <f>SUM(X29:X39)-SUM(Y29:Y39)</f>
        <v/>
      </c>
      <c r="C51" s="7" t="n">
        <v>918.138</v>
      </c>
    </row>
    <row r="52">
      <c r="A52" s="2" t="inlineStr">
        <is>
          <t>Coût (+) ou gain (−) par tonne WTW évitée ($/t)</t>
        </is>
      </c>
      <c r="B52" s="4">
        <f>(B42-B43)/B51</f>
        <v/>
      </c>
      <c r="C52" s="7" t="n">
        <v>805.8200000000001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Y52"/>
  <sheetViews>
    <sheetView workbookViewId="0">
      <selection activeCell="A1" sqref="A1"/>
    </sheetView>
  </sheetViews>
  <sheetFormatPr baseColWidth="8" defaultRowHeight="15"/>
  <cols>
    <col width="4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</cols>
  <sheetData>
    <row r="1">
      <c r="A1" s="1" t="inlineStr">
        <is>
          <t>Cas 3 — Camion lourd BEV (classe 8)</t>
        </is>
      </c>
    </row>
    <row r="3">
      <c r="A3" s="2" t="inlineStr">
        <is>
          <t>Entrées du cas (constantes, depuis docs/tco-cas-de-reference.json)</t>
        </is>
      </c>
    </row>
    <row r="4">
      <c r="A4" t="inlineStr">
        <is>
          <t>Horizon H (années)</t>
        </is>
      </c>
      <c r="B4" s="3" t="n">
        <v>10</v>
      </c>
      <c r="C4" t="inlineStr">
        <is>
          <t>ans</t>
        </is>
      </c>
    </row>
    <row r="5">
      <c r="A5" t="inlineStr">
        <is>
          <t>Kilométrage annuel</t>
        </is>
      </c>
      <c r="B5" s="3" t="n">
        <v>60000</v>
      </c>
      <c r="C5" t="inlineStr">
        <is>
          <t>km/an</t>
        </is>
      </c>
    </row>
    <row r="6">
      <c r="A6" t="inlineStr">
        <is>
          <t>Prix réf (diesel) avant taxes</t>
        </is>
      </c>
      <c r="B6" s="3" t="n">
        <v>200000</v>
      </c>
      <c r="C6" t="inlineStr">
        <is>
          <t>$</t>
        </is>
      </c>
    </row>
    <row r="7">
      <c r="A7" t="inlineStr">
        <is>
          <t>Conso réf</t>
        </is>
      </c>
      <c r="B7" s="3" t="n">
        <v>36</v>
      </c>
      <c r="C7" t="inlineStr">
        <is>
          <t>L/100 km</t>
        </is>
      </c>
    </row>
    <row r="8">
      <c r="A8" t="inlineStr">
        <is>
          <t>Entretien réf</t>
        </is>
      </c>
      <c r="B8" s="3" t="n">
        <v>0.35</v>
      </c>
      <c r="C8" t="inlineStr">
        <is>
          <t>$/km</t>
        </is>
      </c>
    </row>
    <row r="9">
      <c r="A9" t="inlineStr">
        <is>
          <t>Prix alt avant taxes</t>
        </is>
      </c>
      <c r="B9" s="3" t="n">
        <v>460000</v>
      </c>
      <c r="C9" t="inlineStr">
        <is>
          <t>$</t>
        </is>
      </c>
    </row>
    <row r="10">
      <c r="A10" t="inlineStr">
        <is>
          <t>Conso alt (nominale tempérée)</t>
        </is>
      </c>
      <c r="B10" s="3" t="n">
        <v>115</v>
      </c>
      <c r="C10" t="inlineStr">
        <is>
          <t>kWh/100 km</t>
        </is>
      </c>
    </row>
    <row r="11">
      <c r="A11" t="inlineStr">
        <is>
          <t>Entretien alt</t>
        </is>
      </c>
      <c r="B11" s="3" t="n">
        <v>0.25</v>
      </c>
      <c r="C11" t="inlineStr">
        <is>
          <t>$/km</t>
        </is>
      </c>
    </row>
    <row r="12">
      <c r="A12" t="inlineStr">
        <is>
          <t>Subvention (montant)</t>
        </is>
      </c>
      <c r="B12" s="3" t="n">
        <v>115000</v>
      </c>
      <c r="C12" t="inlineStr">
        <is>
          <t>$</t>
        </is>
      </c>
    </row>
    <row r="13">
      <c r="A13" t="inlineStr">
        <is>
          <t>Subvention (année de versement)</t>
        </is>
      </c>
      <c r="B13" s="3" t="n">
        <v>1</v>
      </c>
      <c r="C13" t="inlineStr">
        <is>
          <t>année</t>
        </is>
      </c>
    </row>
    <row r="14">
      <c r="A14" t="inlineStr">
        <is>
          <t>Infra — capex avant taxes</t>
        </is>
      </c>
      <c r="B14" s="3" t="n">
        <v>250000</v>
      </c>
      <c r="C14" t="inlineStr">
        <is>
          <t>$</t>
        </is>
      </c>
    </row>
    <row r="15">
      <c r="A15" t="inlineStr">
        <is>
          <t>FE diesel TTW (choix catégorie)</t>
        </is>
      </c>
      <c r="B15" s="4">
        <f>fe_lourd</f>
        <v/>
      </c>
      <c r="C15" t="inlineStr">
        <is>
          <t>kg CO2e/L</t>
        </is>
      </c>
    </row>
    <row r="17">
      <c r="A17" s="2" t="inlineStr">
        <is>
          <t>Valeurs dérivées (formules)</t>
        </is>
      </c>
    </row>
    <row r="18">
      <c r="A18" t="inlineStr">
        <is>
          <t>Prix réf avec taxes non récupérables</t>
        </is>
      </c>
      <c r="B18" s="4">
        <f>$B$6*(1+taux_taxes)</f>
        <v/>
      </c>
    </row>
    <row r="19">
      <c r="A19" t="inlineStr">
        <is>
          <t>Prix alt avec taxes non récupérables</t>
        </is>
      </c>
      <c r="B19" s="4">
        <f>$B$9*(1+taux_taxes)</f>
        <v/>
      </c>
    </row>
    <row r="20">
      <c r="A20" t="inlineStr">
        <is>
          <t>Infra avec taxes non récupérables</t>
        </is>
      </c>
      <c r="B20" s="4">
        <f>$B$14*(1+taux_taxes)</f>
        <v/>
      </c>
    </row>
    <row r="21">
      <c r="A21" t="inlineStr">
        <is>
          <t>Conso alt facturée (compteur ou pompe) /100 km</t>
        </is>
      </c>
      <c r="B21" s="4">
        <f>$B$10*fact_hiver/rendement</f>
        <v/>
      </c>
    </row>
    <row r="22">
      <c r="A22" t="inlineStr">
        <is>
          <t>VR réf fin d'horizon (avant taxes, nominale, géométrique planchée)</t>
        </is>
      </c>
      <c r="B22" s="4">
        <f>MAX($B$6*(1-d_diesel)^$B$4,plancher_vr*$B$6)</f>
        <v/>
      </c>
    </row>
    <row r="23">
      <c r="A23" t="inlineStr">
        <is>
          <t>VR alt fin d'horizon (avant taxes, nominale, géométrique planchée)</t>
        </is>
      </c>
      <c r="B23" s="4">
        <f>MAX($B$9*(1-d_bev)^$B$4,plancher_vr*$B$9)</f>
        <v/>
      </c>
    </row>
    <row r="24">
      <c r="A24" t="inlineStr">
        <is>
          <t>Année de ré-achat de l'infra (vide si aucun)</t>
        </is>
      </c>
      <c r="B24" s="4">
        <f>IF(AND($B$14&gt;0,$B$4&gt;duree_vie_infra),duree_vie_infra,"")</f>
        <v/>
      </c>
    </row>
    <row r="25">
      <c r="A25" t="inlineStr">
        <is>
          <t>VR infra fin d'horizon (linéaire, dernier équipement, capex indexé)</t>
        </is>
      </c>
      <c r="B25" s="4">
        <f>IF($B$14=0,0,IF($B$4&gt;duree_vie_infra,$B$14*(1+g_general)^duree_vie_infra*(duree_vie_infra-($B$4-duree_vie_infra))/duree_vie_infra,$B$14*(duree_vie_infra-$B$4)/duree_vie_infra))</f>
        <v/>
      </c>
    </row>
    <row r="28">
      <c r="A28" s="2" t="inlineStr">
        <is>
          <t>n</t>
        </is>
      </c>
      <c r="B28" s="2" t="inlineStr">
        <is>
          <t>Acquisition alt</t>
        </is>
      </c>
      <c r="C28" s="2" t="inlineStr">
        <is>
          <t>Subventions</t>
        </is>
      </c>
      <c r="D28" s="2" t="inlineStr">
        <is>
          <t>Énergie alt</t>
        </is>
      </c>
      <c r="E28" s="2" t="inlineStr">
        <is>
          <t>Entretien alt</t>
        </is>
      </c>
      <c r="F28" s="2" t="inlineStr">
        <is>
          <t>Opex infra</t>
        </is>
      </c>
      <c r="G28" s="2" t="inlineStr">
        <is>
          <t>Résiduels alt</t>
        </is>
      </c>
      <c r="H28" s="2" t="inlineStr">
        <is>
          <t>Flux net alt</t>
        </is>
      </c>
      <c r="I28" s="2" t="inlineStr">
        <is>
          <t>Acquisition réf</t>
        </is>
      </c>
      <c r="J28" s="2" t="inlineStr">
        <is>
          <t>Énergie réf</t>
        </is>
      </c>
      <c r="K28" s="2" t="inlineStr">
        <is>
          <t>Entretien réf</t>
        </is>
      </c>
      <c r="L28" s="2" t="inlineStr">
        <is>
          <t>Résiduels réf</t>
        </is>
      </c>
      <c r="M28" s="2" t="inlineStr">
        <is>
          <t>Flux net réf</t>
        </is>
      </c>
      <c r="N28" s="2" t="inlineStr">
        <is>
          <t>Économie nominale</t>
        </is>
      </c>
      <c r="O28" s="2" t="inlineStr">
        <is>
          <t>Facteur actualisation</t>
        </is>
      </c>
      <c r="P28" s="2" t="inlineStr">
        <is>
          <t>Flux act. alt</t>
        </is>
      </c>
      <c r="Q28" s="2" t="inlineStr">
        <is>
          <t>Flux act. réf</t>
        </is>
      </c>
      <c r="R28" s="2" t="inlineStr">
        <is>
          <t>Cumul économie nominale</t>
        </is>
      </c>
      <c r="S28" s="2" t="inlineStr">
        <is>
          <t>Cumul économie actualisée</t>
        </is>
      </c>
      <c r="T28" s="2" t="inlineStr">
        <is>
          <t>km actualisés</t>
        </is>
      </c>
      <c r="U28" s="2" t="inlineStr">
        <is>
          <t>n si cumul nominal &gt;= 0</t>
        </is>
      </c>
      <c r="V28" s="2" t="inlineStr">
        <is>
          <t>n si cumul actualisé &gt;= 0</t>
        </is>
      </c>
      <c r="W28" s="2" t="inlineStr">
        <is>
          <t>TTW réf (t)</t>
        </is>
      </c>
      <c r="X28" s="2" t="inlineStr">
        <is>
          <t>WTW réf (t)</t>
        </is>
      </c>
      <c r="Y28" s="2" t="inlineStr">
        <is>
          <t>WTW alt (t)</t>
        </is>
      </c>
    </row>
    <row r="29">
      <c r="A29" t="n">
        <v>0</v>
      </c>
      <c r="B29" s="5">
        <f>IF(A29=0,$B$19+$B$20,IF(A29=$B$24,$B$14*(1+g_general)^A29*(1+taux_taxes),0))</f>
        <v/>
      </c>
      <c r="C29" s="5">
        <f>IF(A29=$B$13,$B$12,0)</f>
        <v/>
      </c>
      <c r="D29" s="5">
        <f>IF(A29=0,0,$B$5*$B$21/100*prix_elec*(1+g_elec)^A29*(1+taux_taxes))</f>
        <v/>
      </c>
      <c r="E29" s="5">
        <f>IF(A29=0,0,$B$5*$B$11*(1+g_entretien)^A29*(1+taux_taxes))</f>
        <v/>
      </c>
      <c r="F29" s="5">
        <f>IF(A29=0,0,infra_entretien_pct*$B$14*(1+g_entretien)^A29*(1+taux_taxes))</f>
        <v/>
      </c>
      <c r="G29" s="5">
        <f>IF(A29=$B$4,$B$23+$B$25,0)</f>
        <v/>
      </c>
      <c r="H29" s="5">
        <f>B29-C29+D29+E29+F29-G29</f>
        <v/>
      </c>
      <c r="I29" s="5">
        <f>IF(A29=0,$B$18,0)</f>
        <v/>
      </c>
      <c r="J29" s="5">
        <f>IF(A29=0,0,$B$5*$B$7/100*prix_diesel*(1+g_diesel)^A29*(1+taux_taxes))</f>
        <v/>
      </c>
      <c r="K29" s="5">
        <f>IF(A29=0,0,$B$5*$B$8*(1+g_entretien)^A29*(1+taux_taxes))</f>
        <v/>
      </c>
      <c r="L29" s="5">
        <f>IF(A29=$B$4,$B$22,0)</f>
        <v/>
      </c>
      <c r="M29" s="5">
        <f>I29+J29+K29-L29</f>
        <v/>
      </c>
      <c r="N29" s="5">
        <f>M29-H29</f>
        <v/>
      </c>
      <c r="O29" s="5">
        <f>1/(1+taux_r)^A29</f>
        <v/>
      </c>
      <c r="P29" s="5">
        <f>H29*O29</f>
        <v/>
      </c>
      <c r="Q29" s="5">
        <f>M29*O29</f>
        <v/>
      </c>
      <c r="R29" s="5">
        <f>N29</f>
        <v/>
      </c>
      <c r="S29" s="5">
        <f>N29*O29</f>
        <v/>
      </c>
      <c r="T29" s="5">
        <f>IF(A29=0,0,$B$5*O29)</f>
        <v/>
      </c>
      <c r="U29" s="6">
        <f>IF(R29&gt;=0,A29,"")</f>
        <v/>
      </c>
      <c r="V29" s="6">
        <f>IF(S29&gt;=0,A29,"")</f>
        <v/>
      </c>
      <c r="W29" s="6">
        <f>IF(A29=0,0,$B$5*$B$7/100*$B$15/1000)</f>
        <v/>
      </c>
      <c r="X29" s="6">
        <f>W29*ratio_wtw</f>
        <v/>
      </c>
      <c r="Y29" s="6">
        <f>IF(A29=0,0,$B$5*$B$21/100*fe_elec/1000000)</f>
        <v/>
      </c>
    </row>
    <row r="30">
      <c r="A30">
        <f>A29+1</f>
        <v/>
      </c>
      <c r="B30" s="5">
        <f>IF(A30=0,$B$19+$B$20,IF(A30=$B$24,$B$14*(1+g_general)^A30*(1+taux_taxes),0))</f>
        <v/>
      </c>
      <c r="C30" s="5">
        <f>IF(A30=$B$13,$B$12,0)</f>
        <v/>
      </c>
      <c r="D30" s="5">
        <f>IF(A30=0,0,$B$5*$B$21/100*prix_elec*(1+g_elec)^A30*(1+taux_taxes))</f>
        <v/>
      </c>
      <c r="E30" s="5">
        <f>IF(A30=0,0,$B$5*$B$11*(1+g_entretien)^A30*(1+taux_taxes))</f>
        <v/>
      </c>
      <c r="F30" s="5">
        <f>IF(A30=0,0,infra_entretien_pct*$B$14*(1+g_entretien)^A30*(1+taux_taxes))</f>
        <v/>
      </c>
      <c r="G30" s="5">
        <f>IF(A30=$B$4,$B$23+$B$25,0)</f>
        <v/>
      </c>
      <c r="H30" s="5">
        <f>B30-C30+D30+E30+F30-G30</f>
        <v/>
      </c>
      <c r="I30" s="5">
        <f>IF(A30=0,$B$18,0)</f>
        <v/>
      </c>
      <c r="J30" s="5">
        <f>IF(A30=0,0,$B$5*$B$7/100*prix_diesel*(1+g_diesel)^A30*(1+taux_taxes))</f>
        <v/>
      </c>
      <c r="K30" s="5">
        <f>IF(A30=0,0,$B$5*$B$8*(1+g_entretien)^A30*(1+taux_taxes))</f>
        <v/>
      </c>
      <c r="L30" s="5">
        <f>IF(A30=$B$4,$B$22,0)</f>
        <v/>
      </c>
      <c r="M30" s="5">
        <f>I30+J30+K30-L30</f>
        <v/>
      </c>
      <c r="N30" s="5">
        <f>M30-H30</f>
        <v/>
      </c>
      <c r="O30" s="5">
        <f>1/(1+taux_r)^A30</f>
        <v/>
      </c>
      <c r="P30" s="5">
        <f>H30*O30</f>
        <v/>
      </c>
      <c r="Q30" s="5">
        <f>M30*O30</f>
        <v/>
      </c>
      <c r="R30" s="5">
        <f>R29+N30</f>
        <v/>
      </c>
      <c r="S30" s="5">
        <f>S29+N30*O30</f>
        <v/>
      </c>
      <c r="T30" s="5">
        <f>IF(A30=0,0,$B$5*O30)</f>
        <v/>
      </c>
      <c r="U30" s="6">
        <f>IF(R30&gt;=0,A30,"")</f>
        <v/>
      </c>
      <c r="V30" s="6">
        <f>IF(S30&gt;=0,A30,"")</f>
        <v/>
      </c>
      <c r="W30" s="6">
        <f>IF(A30=0,0,$B$5*$B$7/100*$B$15/1000)</f>
        <v/>
      </c>
      <c r="X30" s="6">
        <f>W30*ratio_wtw</f>
        <v/>
      </c>
      <c r="Y30" s="6">
        <f>IF(A30=0,0,$B$5*$B$21/100*fe_elec/1000000)</f>
        <v/>
      </c>
    </row>
    <row r="31">
      <c r="A31">
        <f>A30+1</f>
        <v/>
      </c>
      <c r="B31" s="5">
        <f>IF(A31=0,$B$19+$B$20,IF(A31=$B$24,$B$14*(1+g_general)^A31*(1+taux_taxes),0))</f>
        <v/>
      </c>
      <c r="C31" s="5">
        <f>IF(A31=$B$13,$B$12,0)</f>
        <v/>
      </c>
      <c r="D31" s="5">
        <f>IF(A31=0,0,$B$5*$B$21/100*prix_elec*(1+g_elec)^A31*(1+taux_taxes))</f>
        <v/>
      </c>
      <c r="E31" s="5">
        <f>IF(A31=0,0,$B$5*$B$11*(1+g_entretien)^A31*(1+taux_taxes))</f>
        <v/>
      </c>
      <c r="F31" s="5">
        <f>IF(A31=0,0,infra_entretien_pct*$B$14*(1+g_entretien)^A31*(1+taux_taxes))</f>
        <v/>
      </c>
      <c r="G31" s="5">
        <f>IF(A31=$B$4,$B$23+$B$25,0)</f>
        <v/>
      </c>
      <c r="H31" s="5">
        <f>B31-C31+D31+E31+F31-G31</f>
        <v/>
      </c>
      <c r="I31" s="5">
        <f>IF(A31=0,$B$18,0)</f>
        <v/>
      </c>
      <c r="J31" s="5">
        <f>IF(A31=0,0,$B$5*$B$7/100*prix_diesel*(1+g_diesel)^A31*(1+taux_taxes))</f>
        <v/>
      </c>
      <c r="K31" s="5">
        <f>IF(A31=0,0,$B$5*$B$8*(1+g_entretien)^A31*(1+taux_taxes))</f>
        <v/>
      </c>
      <c r="L31" s="5">
        <f>IF(A31=$B$4,$B$22,0)</f>
        <v/>
      </c>
      <c r="M31" s="5">
        <f>I31+J31+K31-L31</f>
        <v/>
      </c>
      <c r="N31" s="5">
        <f>M31-H31</f>
        <v/>
      </c>
      <c r="O31" s="5">
        <f>1/(1+taux_r)^A31</f>
        <v/>
      </c>
      <c r="P31" s="5">
        <f>H31*O31</f>
        <v/>
      </c>
      <c r="Q31" s="5">
        <f>M31*O31</f>
        <v/>
      </c>
      <c r="R31" s="5">
        <f>R30+N31</f>
        <v/>
      </c>
      <c r="S31" s="5">
        <f>S30+N31*O31</f>
        <v/>
      </c>
      <c r="T31" s="5">
        <f>IF(A31=0,0,$B$5*O31)</f>
        <v/>
      </c>
      <c r="U31" s="6">
        <f>IF(R31&gt;=0,A31,"")</f>
        <v/>
      </c>
      <c r="V31" s="6">
        <f>IF(S31&gt;=0,A31,"")</f>
        <v/>
      </c>
      <c r="W31" s="6">
        <f>IF(A31=0,0,$B$5*$B$7/100*$B$15/1000)</f>
        <v/>
      </c>
      <c r="X31" s="6">
        <f>W31*ratio_wtw</f>
        <v/>
      </c>
      <c r="Y31" s="6">
        <f>IF(A31=0,0,$B$5*$B$21/100*fe_elec/1000000)</f>
        <v/>
      </c>
    </row>
    <row r="32">
      <c r="A32">
        <f>A31+1</f>
        <v/>
      </c>
      <c r="B32" s="5">
        <f>IF(A32=0,$B$19+$B$20,IF(A32=$B$24,$B$14*(1+g_general)^A32*(1+taux_taxes),0))</f>
        <v/>
      </c>
      <c r="C32" s="5">
        <f>IF(A32=$B$13,$B$12,0)</f>
        <v/>
      </c>
      <c r="D32" s="5">
        <f>IF(A32=0,0,$B$5*$B$21/100*prix_elec*(1+g_elec)^A32*(1+taux_taxes))</f>
        <v/>
      </c>
      <c r="E32" s="5">
        <f>IF(A32=0,0,$B$5*$B$11*(1+g_entretien)^A32*(1+taux_taxes))</f>
        <v/>
      </c>
      <c r="F32" s="5">
        <f>IF(A32=0,0,infra_entretien_pct*$B$14*(1+g_entretien)^A32*(1+taux_taxes))</f>
        <v/>
      </c>
      <c r="G32" s="5">
        <f>IF(A32=$B$4,$B$23+$B$25,0)</f>
        <v/>
      </c>
      <c r="H32" s="5">
        <f>B32-C32+D32+E32+F32-G32</f>
        <v/>
      </c>
      <c r="I32" s="5">
        <f>IF(A32=0,$B$18,0)</f>
        <v/>
      </c>
      <c r="J32" s="5">
        <f>IF(A32=0,0,$B$5*$B$7/100*prix_diesel*(1+g_diesel)^A32*(1+taux_taxes))</f>
        <v/>
      </c>
      <c r="K32" s="5">
        <f>IF(A32=0,0,$B$5*$B$8*(1+g_entretien)^A32*(1+taux_taxes))</f>
        <v/>
      </c>
      <c r="L32" s="5">
        <f>IF(A32=$B$4,$B$22,0)</f>
        <v/>
      </c>
      <c r="M32" s="5">
        <f>I32+J32+K32-L32</f>
        <v/>
      </c>
      <c r="N32" s="5">
        <f>M32-H32</f>
        <v/>
      </c>
      <c r="O32" s="5">
        <f>1/(1+taux_r)^A32</f>
        <v/>
      </c>
      <c r="P32" s="5">
        <f>H32*O32</f>
        <v/>
      </c>
      <c r="Q32" s="5">
        <f>M32*O32</f>
        <v/>
      </c>
      <c r="R32" s="5">
        <f>R31+N32</f>
        <v/>
      </c>
      <c r="S32" s="5">
        <f>S31+N32*O32</f>
        <v/>
      </c>
      <c r="T32" s="5">
        <f>IF(A32=0,0,$B$5*O32)</f>
        <v/>
      </c>
      <c r="U32" s="6">
        <f>IF(R32&gt;=0,A32,"")</f>
        <v/>
      </c>
      <c r="V32" s="6">
        <f>IF(S32&gt;=0,A32,"")</f>
        <v/>
      </c>
      <c r="W32" s="6">
        <f>IF(A32=0,0,$B$5*$B$7/100*$B$15/1000)</f>
        <v/>
      </c>
      <c r="X32" s="6">
        <f>W32*ratio_wtw</f>
        <v/>
      </c>
      <c r="Y32" s="6">
        <f>IF(A32=0,0,$B$5*$B$21/100*fe_elec/1000000)</f>
        <v/>
      </c>
    </row>
    <row r="33">
      <c r="A33">
        <f>A32+1</f>
        <v/>
      </c>
      <c r="B33" s="5">
        <f>IF(A33=0,$B$19+$B$20,IF(A33=$B$24,$B$14*(1+g_general)^A33*(1+taux_taxes),0))</f>
        <v/>
      </c>
      <c r="C33" s="5">
        <f>IF(A33=$B$13,$B$12,0)</f>
        <v/>
      </c>
      <c r="D33" s="5">
        <f>IF(A33=0,0,$B$5*$B$21/100*prix_elec*(1+g_elec)^A33*(1+taux_taxes))</f>
        <v/>
      </c>
      <c r="E33" s="5">
        <f>IF(A33=0,0,$B$5*$B$11*(1+g_entretien)^A33*(1+taux_taxes))</f>
        <v/>
      </c>
      <c r="F33" s="5">
        <f>IF(A33=0,0,infra_entretien_pct*$B$14*(1+g_entretien)^A33*(1+taux_taxes))</f>
        <v/>
      </c>
      <c r="G33" s="5">
        <f>IF(A33=$B$4,$B$23+$B$25,0)</f>
        <v/>
      </c>
      <c r="H33" s="5">
        <f>B33-C33+D33+E33+F33-G33</f>
        <v/>
      </c>
      <c r="I33" s="5">
        <f>IF(A33=0,$B$18,0)</f>
        <v/>
      </c>
      <c r="J33" s="5">
        <f>IF(A33=0,0,$B$5*$B$7/100*prix_diesel*(1+g_diesel)^A33*(1+taux_taxes))</f>
        <v/>
      </c>
      <c r="K33" s="5">
        <f>IF(A33=0,0,$B$5*$B$8*(1+g_entretien)^A33*(1+taux_taxes))</f>
        <v/>
      </c>
      <c r="L33" s="5">
        <f>IF(A33=$B$4,$B$22,0)</f>
        <v/>
      </c>
      <c r="M33" s="5">
        <f>I33+J33+K33-L33</f>
        <v/>
      </c>
      <c r="N33" s="5">
        <f>M33-H33</f>
        <v/>
      </c>
      <c r="O33" s="5">
        <f>1/(1+taux_r)^A33</f>
        <v/>
      </c>
      <c r="P33" s="5">
        <f>H33*O33</f>
        <v/>
      </c>
      <c r="Q33" s="5">
        <f>M33*O33</f>
        <v/>
      </c>
      <c r="R33" s="5">
        <f>R32+N33</f>
        <v/>
      </c>
      <c r="S33" s="5">
        <f>S32+N33*O33</f>
        <v/>
      </c>
      <c r="T33" s="5">
        <f>IF(A33=0,0,$B$5*O33)</f>
        <v/>
      </c>
      <c r="U33" s="6">
        <f>IF(R33&gt;=0,A33,"")</f>
        <v/>
      </c>
      <c r="V33" s="6">
        <f>IF(S33&gt;=0,A33,"")</f>
        <v/>
      </c>
      <c r="W33" s="6">
        <f>IF(A33=0,0,$B$5*$B$7/100*$B$15/1000)</f>
        <v/>
      </c>
      <c r="X33" s="6">
        <f>W33*ratio_wtw</f>
        <v/>
      </c>
      <c r="Y33" s="6">
        <f>IF(A33=0,0,$B$5*$B$21/100*fe_elec/1000000)</f>
        <v/>
      </c>
    </row>
    <row r="34">
      <c r="A34">
        <f>A33+1</f>
        <v/>
      </c>
      <c r="B34" s="5">
        <f>IF(A34=0,$B$19+$B$20,IF(A34=$B$24,$B$14*(1+g_general)^A34*(1+taux_taxes),0))</f>
        <v/>
      </c>
      <c r="C34" s="5">
        <f>IF(A34=$B$13,$B$12,0)</f>
        <v/>
      </c>
      <c r="D34" s="5">
        <f>IF(A34=0,0,$B$5*$B$21/100*prix_elec*(1+g_elec)^A34*(1+taux_taxes))</f>
        <v/>
      </c>
      <c r="E34" s="5">
        <f>IF(A34=0,0,$B$5*$B$11*(1+g_entretien)^A34*(1+taux_taxes))</f>
        <v/>
      </c>
      <c r="F34" s="5">
        <f>IF(A34=0,0,infra_entretien_pct*$B$14*(1+g_entretien)^A34*(1+taux_taxes))</f>
        <v/>
      </c>
      <c r="G34" s="5">
        <f>IF(A34=$B$4,$B$23+$B$25,0)</f>
        <v/>
      </c>
      <c r="H34" s="5">
        <f>B34-C34+D34+E34+F34-G34</f>
        <v/>
      </c>
      <c r="I34" s="5">
        <f>IF(A34=0,$B$18,0)</f>
        <v/>
      </c>
      <c r="J34" s="5">
        <f>IF(A34=0,0,$B$5*$B$7/100*prix_diesel*(1+g_diesel)^A34*(1+taux_taxes))</f>
        <v/>
      </c>
      <c r="K34" s="5">
        <f>IF(A34=0,0,$B$5*$B$8*(1+g_entretien)^A34*(1+taux_taxes))</f>
        <v/>
      </c>
      <c r="L34" s="5">
        <f>IF(A34=$B$4,$B$22,0)</f>
        <v/>
      </c>
      <c r="M34" s="5">
        <f>I34+J34+K34-L34</f>
        <v/>
      </c>
      <c r="N34" s="5">
        <f>M34-H34</f>
        <v/>
      </c>
      <c r="O34" s="5">
        <f>1/(1+taux_r)^A34</f>
        <v/>
      </c>
      <c r="P34" s="5">
        <f>H34*O34</f>
        <v/>
      </c>
      <c r="Q34" s="5">
        <f>M34*O34</f>
        <v/>
      </c>
      <c r="R34" s="5">
        <f>R33+N34</f>
        <v/>
      </c>
      <c r="S34" s="5">
        <f>S33+N34*O34</f>
        <v/>
      </c>
      <c r="T34" s="5">
        <f>IF(A34=0,0,$B$5*O34)</f>
        <v/>
      </c>
      <c r="U34" s="6">
        <f>IF(R34&gt;=0,A34,"")</f>
        <v/>
      </c>
      <c r="V34" s="6">
        <f>IF(S34&gt;=0,A34,"")</f>
        <v/>
      </c>
      <c r="W34" s="6">
        <f>IF(A34=0,0,$B$5*$B$7/100*$B$15/1000)</f>
        <v/>
      </c>
      <c r="X34" s="6">
        <f>W34*ratio_wtw</f>
        <v/>
      </c>
      <c r="Y34" s="6">
        <f>IF(A34=0,0,$B$5*$B$21/100*fe_elec/1000000)</f>
        <v/>
      </c>
    </row>
    <row r="35">
      <c r="A35">
        <f>A34+1</f>
        <v/>
      </c>
      <c r="B35" s="5">
        <f>IF(A35=0,$B$19+$B$20,IF(A35=$B$24,$B$14*(1+g_general)^A35*(1+taux_taxes),0))</f>
        <v/>
      </c>
      <c r="C35" s="5">
        <f>IF(A35=$B$13,$B$12,0)</f>
        <v/>
      </c>
      <c r="D35" s="5">
        <f>IF(A35=0,0,$B$5*$B$21/100*prix_elec*(1+g_elec)^A35*(1+taux_taxes))</f>
        <v/>
      </c>
      <c r="E35" s="5">
        <f>IF(A35=0,0,$B$5*$B$11*(1+g_entretien)^A35*(1+taux_taxes))</f>
        <v/>
      </c>
      <c r="F35" s="5">
        <f>IF(A35=0,0,infra_entretien_pct*$B$14*(1+g_entretien)^A35*(1+taux_taxes))</f>
        <v/>
      </c>
      <c r="G35" s="5">
        <f>IF(A35=$B$4,$B$23+$B$25,0)</f>
        <v/>
      </c>
      <c r="H35" s="5">
        <f>B35-C35+D35+E35+F35-G35</f>
        <v/>
      </c>
      <c r="I35" s="5">
        <f>IF(A35=0,$B$18,0)</f>
        <v/>
      </c>
      <c r="J35" s="5">
        <f>IF(A35=0,0,$B$5*$B$7/100*prix_diesel*(1+g_diesel)^A35*(1+taux_taxes))</f>
        <v/>
      </c>
      <c r="K35" s="5">
        <f>IF(A35=0,0,$B$5*$B$8*(1+g_entretien)^A35*(1+taux_taxes))</f>
        <v/>
      </c>
      <c r="L35" s="5">
        <f>IF(A35=$B$4,$B$22,0)</f>
        <v/>
      </c>
      <c r="M35" s="5">
        <f>I35+J35+K35-L35</f>
        <v/>
      </c>
      <c r="N35" s="5">
        <f>M35-H35</f>
        <v/>
      </c>
      <c r="O35" s="5">
        <f>1/(1+taux_r)^A35</f>
        <v/>
      </c>
      <c r="P35" s="5">
        <f>H35*O35</f>
        <v/>
      </c>
      <c r="Q35" s="5">
        <f>M35*O35</f>
        <v/>
      </c>
      <c r="R35" s="5">
        <f>R34+N35</f>
        <v/>
      </c>
      <c r="S35" s="5">
        <f>S34+N35*O35</f>
        <v/>
      </c>
      <c r="T35" s="5">
        <f>IF(A35=0,0,$B$5*O35)</f>
        <v/>
      </c>
      <c r="U35" s="6">
        <f>IF(R35&gt;=0,A35,"")</f>
        <v/>
      </c>
      <c r="V35" s="6">
        <f>IF(S35&gt;=0,A35,"")</f>
        <v/>
      </c>
      <c r="W35" s="6">
        <f>IF(A35=0,0,$B$5*$B$7/100*$B$15/1000)</f>
        <v/>
      </c>
      <c r="X35" s="6">
        <f>W35*ratio_wtw</f>
        <v/>
      </c>
      <c r="Y35" s="6">
        <f>IF(A35=0,0,$B$5*$B$21/100*fe_elec/1000000)</f>
        <v/>
      </c>
    </row>
    <row r="36">
      <c r="A36">
        <f>A35+1</f>
        <v/>
      </c>
      <c r="B36" s="5">
        <f>IF(A36=0,$B$19+$B$20,IF(A36=$B$24,$B$14*(1+g_general)^A36*(1+taux_taxes),0))</f>
        <v/>
      </c>
      <c r="C36" s="5">
        <f>IF(A36=$B$13,$B$12,0)</f>
        <v/>
      </c>
      <c r="D36" s="5">
        <f>IF(A36=0,0,$B$5*$B$21/100*prix_elec*(1+g_elec)^A36*(1+taux_taxes))</f>
        <v/>
      </c>
      <c r="E36" s="5">
        <f>IF(A36=0,0,$B$5*$B$11*(1+g_entretien)^A36*(1+taux_taxes))</f>
        <v/>
      </c>
      <c r="F36" s="5">
        <f>IF(A36=0,0,infra_entretien_pct*$B$14*(1+g_entretien)^A36*(1+taux_taxes))</f>
        <v/>
      </c>
      <c r="G36" s="5">
        <f>IF(A36=$B$4,$B$23+$B$25,0)</f>
        <v/>
      </c>
      <c r="H36" s="5">
        <f>B36-C36+D36+E36+F36-G36</f>
        <v/>
      </c>
      <c r="I36" s="5">
        <f>IF(A36=0,$B$18,0)</f>
        <v/>
      </c>
      <c r="J36" s="5">
        <f>IF(A36=0,0,$B$5*$B$7/100*prix_diesel*(1+g_diesel)^A36*(1+taux_taxes))</f>
        <v/>
      </c>
      <c r="K36" s="5">
        <f>IF(A36=0,0,$B$5*$B$8*(1+g_entretien)^A36*(1+taux_taxes))</f>
        <v/>
      </c>
      <c r="L36" s="5">
        <f>IF(A36=$B$4,$B$22,0)</f>
        <v/>
      </c>
      <c r="M36" s="5">
        <f>I36+J36+K36-L36</f>
        <v/>
      </c>
      <c r="N36" s="5">
        <f>M36-H36</f>
        <v/>
      </c>
      <c r="O36" s="5">
        <f>1/(1+taux_r)^A36</f>
        <v/>
      </c>
      <c r="P36" s="5">
        <f>H36*O36</f>
        <v/>
      </c>
      <c r="Q36" s="5">
        <f>M36*O36</f>
        <v/>
      </c>
      <c r="R36" s="5">
        <f>R35+N36</f>
        <v/>
      </c>
      <c r="S36" s="5">
        <f>S35+N36*O36</f>
        <v/>
      </c>
      <c r="T36" s="5">
        <f>IF(A36=0,0,$B$5*O36)</f>
        <v/>
      </c>
      <c r="U36" s="6">
        <f>IF(R36&gt;=0,A36,"")</f>
        <v/>
      </c>
      <c r="V36" s="6">
        <f>IF(S36&gt;=0,A36,"")</f>
        <v/>
      </c>
      <c r="W36" s="6">
        <f>IF(A36=0,0,$B$5*$B$7/100*$B$15/1000)</f>
        <v/>
      </c>
      <c r="X36" s="6">
        <f>W36*ratio_wtw</f>
        <v/>
      </c>
      <c r="Y36" s="6">
        <f>IF(A36=0,0,$B$5*$B$21/100*fe_elec/1000000)</f>
        <v/>
      </c>
    </row>
    <row r="37">
      <c r="A37">
        <f>A36+1</f>
        <v/>
      </c>
      <c r="B37" s="5">
        <f>IF(A37=0,$B$19+$B$20,IF(A37=$B$24,$B$14*(1+g_general)^A37*(1+taux_taxes),0))</f>
        <v/>
      </c>
      <c r="C37" s="5">
        <f>IF(A37=$B$13,$B$12,0)</f>
        <v/>
      </c>
      <c r="D37" s="5">
        <f>IF(A37=0,0,$B$5*$B$21/100*prix_elec*(1+g_elec)^A37*(1+taux_taxes))</f>
        <v/>
      </c>
      <c r="E37" s="5">
        <f>IF(A37=0,0,$B$5*$B$11*(1+g_entretien)^A37*(1+taux_taxes))</f>
        <v/>
      </c>
      <c r="F37" s="5">
        <f>IF(A37=0,0,infra_entretien_pct*$B$14*(1+g_entretien)^A37*(1+taux_taxes))</f>
        <v/>
      </c>
      <c r="G37" s="5">
        <f>IF(A37=$B$4,$B$23+$B$25,0)</f>
        <v/>
      </c>
      <c r="H37" s="5">
        <f>B37-C37+D37+E37+F37-G37</f>
        <v/>
      </c>
      <c r="I37" s="5">
        <f>IF(A37=0,$B$18,0)</f>
        <v/>
      </c>
      <c r="J37" s="5">
        <f>IF(A37=0,0,$B$5*$B$7/100*prix_diesel*(1+g_diesel)^A37*(1+taux_taxes))</f>
        <v/>
      </c>
      <c r="K37" s="5">
        <f>IF(A37=0,0,$B$5*$B$8*(1+g_entretien)^A37*(1+taux_taxes))</f>
        <v/>
      </c>
      <c r="L37" s="5">
        <f>IF(A37=$B$4,$B$22,0)</f>
        <v/>
      </c>
      <c r="M37" s="5">
        <f>I37+J37+K37-L37</f>
        <v/>
      </c>
      <c r="N37" s="5">
        <f>M37-H37</f>
        <v/>
      </c>
      <c r="O37" s="5">
        <f>1/(1+taux_r)^A37</f>
        <v/>
      </c>
      <c r="P37" s="5">
        <f>H37*O37</f>
        <v/>
      </c>
      <c r="Q37" s="5">
        <f>M37*O37</f>
        <v/>
      </c>
      <c r="R37" s="5">
        <f>R36+N37</f>
        <v/>
      </c>
      <c r="S37" s="5">
        <f>S36+N37*O37</f>
        <v/>
      </c>
      <c r="T37" s="5">
        <f>IF(A37=0,0,$B$5*O37)</f>
        <v/>
      </c>
      <c r="U37" s="6">
        <f>IF(R37&gt;=0,A37,"")</f>
        <v/>
      </c>
      <c r="V37" s="6">
        <f>IF(S37&gt;=0,A37,"")</f>
        <v/>
      </c>
      <c r="W37" s="6">
        <f>IF(A37=0,0,$B$5*$B$7/100*$B$15/1000)</f>
        <v/>
      </c>
      <c r="X37" s="6">
        <f>W37*ratio_wtw</f>
        <v/>
      </c>
      <c r="Y37" s="6">
        <f>IF(A37=0,0,$B$5*$B$21/100*fe_elec/1000000)</f>
        <v/>
      </c>
    </row>
    <row r="38">
      <c r="A38">
        <f>A37+1</f>
        <v/>
      </c>
      <c r="B38" s="5">
        <f>IF(A38=0,$B$19+$B$20,IF(A38=$B$24,$B$14*(1+g_general)^A38*(1+taux_taxes),0))</f>
        <v/>
      </c>
      <c r="C38" s="5">
        <f>IF(A38=$B$13,$B$12,0)</f>
        <v/>
      </c>
      <c r="D38" s="5">
        <f>IF(A38=0,0,$B$5*$B$21/100*prix_elec*(1+g_elec)^A38*(1+taux_taxes))</f>
        <v/>
      </c>
      <c r="E38" s="5">
        <f>IF(A38=0,0,$B$5*$B$11*(1+g_entretien)^A38*(1+taux_taxes))</f>
        <v/>
      </c>
      <c r="F38" s="5">
        <f>IF(A38=0,0,infra_entretien_pct*$B$14*(1+g_entretien)^A38*(1+taux_taxes))</f>
        <v/>
      </c>
      <c r="G38" s="5">
        <f>IF(A38=$B$4,$B$23+$B$25,0)</f>
        <v/>
      </c>
      <c r="H38" s="5">
        <f>B38-C38+D38+E38+F38-G38</f>
        <v/>
      </c>
      <c r="I38" s="5">
        <f>IF(A38=0,$B$18,0)</f>
        <v/>
      </c>
      <c r="J38" s="5">
        <f>IF(A38=0,0,$B$5*$B$7/100*prix_diesel*(1+g_diesel)^A38*(1+taux_taxes))</f>
        <v/>
      </c>
      <c r="K38" s="5">
        <f>IF(A38=0,0,$B$5*$B$8*(1+g_entretien)^A38*(1+taux_taxes))</f>
        <v/>
      </c>
      <c r="L38" s="5">
        <f>IF(A38=$B$4,$B$22,0)</f>
        <v/>
      </c>
      <c r="M38" s="5">
        <f>I38+J38+K38-L38</f>
        <v/>
      </c>
      <c r="N38" s="5">
        <f>M38-H38</f>
        <v/>
      </c>
      <c r="O38" s="5">
        <f>1/(1+taux_r)^A38</f>
        <v/>
      </c>
      <c r="P38" s="5">
        <f>H38*O38</f>
        <v/>
      </c>
      <c r="Q38" s="5">
        <f>M38*O38</f>
        <v/>
      </c>
      <c r="R38" s="5">
        <f>R37+N38</f>
        <v/>
      </c>
      <c r="S38" s="5">
        <f>S37+N38*O38</f>
        <v/>
      </c>
      <c r="T38" s="5">
        <f>IF(A38=0,0,$B$5*O38)</f>
        <v/>
      </c>
      <c r="U38" s="6">
        <f>IF(R38&gt;=0,A38,"")</f>
        <v/>
      </c>
      <c r="V38" s="6">
        <f>IF(S38&gt;=0,A38,"")</f>
        <v/>
      </c>
      <c r="W38" s="6">
        <f>IF(A38=0,0,$B$5*$B$7/100*$B$15/1000)</f>
        <v/>
      </c>
      <c r="X38" s="6">
        <f>W38*ratio_wtw</f>
        <v/>
      </c>
      <c r="Y38" s="6">
        <f>IF(A38=0,0,$B$5*$B$21/100*fe_elec/1000000)</f>
        <v/>
      </c>
    </row>
    <row r="39">
      <c r="A39">
        <f>A38+1</f>
        <v/>
      </c>
      <c r="B39" s="5">
        <f>IF(A39=0,$B$19+$B$20,IF(A39=$B$24,$B$14*(1+g_general)^A39*(1+taux_taxes),0))</f>
        <v/>
      </c>
      <c r="C39" s="5">
        <f>IF(A39=$B$13,$B$12,0)</f>
        <v/>
      </c>
      <c r="D39" s="5">
        <f>IF(A39=0,0,$B$5*$B$21/100*prix_elec*(1+g_elec)^A39*(1+taux_taxes))</f>
        <v/>
      </c>
      <c r="E39" s="5">
        <f>IF(A39=0,0,$B$5*$B$11*(1+g_entretien)^A39*(1+taux_taxes))</f>
        <v/>
      </c>
      <c r="F39" s="5">
        <f>IF(A39=0,0,infra_entretien_pct*$B$14*(1+g_entretien)^A39*(1+taux_taxes))</f>
        <v/>
      </c>
      <c r="G39" s="5">
        <f>IF(A39=$B$4,$B$23+$B$25,0)</f>
        <v/>
      </c>
      <c r="H39" s="5">
        <f>B39-C39+D39+E39+F39-G39</f>
        <v/>
      </c>
      <c r="I39" s="5">
        <f>IF(A39=0,$B$18,0)</f>
        <v/>
      </c>
      <c r="J39" s="5">
        <f>IF(A39=0,0,$B$5*$B$7/100*prix_diesel*(1+g_diesel)^A39*(1+taux_taxes))</f>
        <v/>
      </c>
      <c r="K39" s="5">
        <f>IF(A39=0,0,$B$5*$B$8*(1+g_entretien)^A39*(1+taux_taxes))</f>
        <v/>
      </c>
      <c r="L39" s="5">
        <f>IF(A39=$B$4,$B$22,0)</f>
        <v/>
      </c>
      <c r="M39" s="5">
        <f>I39+J39+K39-L39</f>
        <v/>
      </c>
      <c r="N39" s="5">
        <f>M39-H39</f>
        <v/>
      </c>
      <c r="O39" s="5">
        <f>1/(1+taux_r)^A39</f>
        <v/>
      </c>
      <c r="P39" s="5">
        <f>H39*O39</f>
        <v/>
      </c>
      <c r="Q39" s="5">
        <f>M39*O39</f>
        <v/>
      </c>
      <c r="R39" s="5">
        <f>R38+N39</f>
        <v/>
      </c>
      <c r="S39" s="5">
        <f>S38+N39*O39</f>
        <v/>
      </c>
      <c r="T39" s="5">
        <f>IF(A39=0,0,$B$5*O39)</f>
        <v/>
      </c>
      <c r="U39" s="6">
        <f>IF(R39&gt;=0,A39,"")</f>
        <v/>
      </c>
      <c r="V39" s="6">
        <f>IF(S39&gt;=0,A39,"")</f>
        <v/>
      </c>
      <c r="W39" s="6">
        <f>IF(A39=0,0,$B$5*$B$7/100*$B$15/1000)</f>
        <v/>
      </c>
      <c r="X39" s="6">
        <f>W39*ratio_wtw</f>
        <v/>
      </c>
      <c r="Y39" s="6">
        <f>IF(A39=0,0,$B$5*$B$21/100*fe_elec/1000000)</f>
        <v/>
      </c>
    </row>
    <row r="41">
      <c r="A41" s="2" t="inlineStr">
        <is>
          <t>Résultats (formules)</t>
        </is>
      </c>
      <c r="C41" s="2" t="inlineStr">
        <is>
          <t>Attendu (contre-calcul indépendant, JSON) — comparaison seulement</t>
        </is>
      </c>
    </row>
    <row r="42">
      <c r="A42" s="2" t="inlineStr">
        <is>
          <t>TCO actualisé — alternative ($)</t>
        </is>
      </c>
      <c r="B42" s="4">
        <f>SUM(P29:P39)</f>
        <v/>
      </c>
      <c r="C42" s="7" t="n">
        <v>833878.55</v>
      </c>
    </row>
    <row r="43">
      <c r="A43" s="2" t="inlineStr">
        <is>
          <t>TCO actualisé — référence ($)</t>
        </is>
      </c>
      <c r="B43" s="4">
        <f>SUM(Q29:Q39)</f>
        <v/>
      </c>
      <c r="C43" s="7" t="n">
        <v>750810.49</v>
      </c>
    </row>
    <row r="44">
      <c r="A44" s="2" t="inlineStr">
        <is>
          <t>VAN différentielle réf − alt ($)</t>
        </is>
      </c>
      <c r="B44" s="4">
        <f>B43-B42</f>
        <v/>
      </c>
      <c r="C44" s="7" t="n">
        <v>-83068.06</v>
      </c>
    </row>
    <row r="45">
      <c r="A45" s="2" t="inlineStr">
        <is>
          <t>km actualisés</t>
        </is>
      </c>
      <c r="B45" s="4">
        <f>SUM(T29:T39)</f>
        <v/>
      </c>
    </row>
    <row r="46">
      <c r="A46" s="2" t="inlineStr">
        <is>
          <t>TCO/km actualisé — alternative ($/km)</t>
        </is>
      </c>
      <c r="B46" s="4">
        <f>B42/B45</f>
        <v/>
      </c>
      <c r="C46" s="7" t="n">
        <v>1.7999</v>
      </c>
    </row>
    <row r="47">
      <c r="A47" s="2" t="inlineStr">
        <is>
          <t>TCO/km actualisé — référence ($/km)</t>
        </is>
      </c>
      <c r="B47" s="4">
        <f>B43/B45</f>
        <v/>
      </c>
    </row>
    <row r="48">
      <c r="A48" s="2" t="inlineStr">
        <is>
          <t>Délai de récupération simple (années)</t>
        </is>
      </c>
      <c r="B48" s="4">
        <f>IF(COUNT(U29:U39)=0,"null : jamais atteint sur l'horizon",MIN(U29:U39))</f>
        <v/>
      </c>
      <c r="C48" s="7" t="n">
        <v>10</v>
      </c>
    </row>
    <row r="49">
      <c r="A49" s="2" t="inlineStr">
        <is>
          <t>Délai de récupération actualisé (années)</t>
        </is>
      </c>
      <c r="B49" s="4">
        <f>IF(COUNT(V29:V39)=0,"null : jamais atteint sur l'horizon",MIN(V29:V39))</f>
        <v/>
      </c>
      <c r="C49" s="7" t="inlineStr">
        <is>
          <t>null</t>
        </is>
      </c>
    </row>
    <row r="50">
      <c r="A50" s="2" t="inlineStr">
        <is>
          <t>CO2e évité cumulé TTW (t)</t>
        </is>
      </c>
      <c r="B50" s="4">
        <f>SUM(W29:W39)</f>
        <v/>
      </c>
      <c r="C50" s="7" t="n">
        <v>588.384</v>
      </c>
    </row>
    <row r="51">
      <c r="A51" s="2" t="inlineStr">
        <is>
          <t>CO2e évité cumulé WTW (t)</t>
        </is>
      </c>
      <c r="B51" s="4">
        <f>SUM(X29:X39)-SUM(Y29:Y39)</f>
        <v/>
      </c>
      <c r="C51" s="7" t="n">
        <v>734.484</v>
      </c>
    </row>
    <row r="52">
      <c r="A52" s="2" t="inlineStr">
        <is>
          <t>Coût (+) ou gain (−) par tonne WTW évitée ($/t)</t>
        </is>
      </c>
      <c r="B52" s="4">
        <f>(B42-B43)/B51</f>
        <v/>
      </c>
      <c r="C52" s="7" t="n">
        <v>113.1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Y52"/>
  <sheetViews>
    <sheetView workbookViewId="0">
      <selection activeCell="A1" sqref="A1"/>
    </sheetView>
  </sheetViews>
  <sheetFormatPr baseColWidth="8" defaultRowHeight="15"/>
  <cols>
    <col width="4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</cols>
  <sheetData>
    <row r="1">
      <c r="A1" s="1" t="inlineStr">
        <is>
          <t>Cas 4 — Véhicule léger BEV</t>
        </is>
      </c>
    </row>
    <row r="3">
      <c r="A3" s="2" t="inlineStr">
        <is>
          <t>Entrées du cas (constantes, depuis docs/tco-cas-de-reference.json)</t>
        </is>
      </c>
    </row>
    <row r="4">
      <c r="A4" t="inlineStr">
        <is>
          <t>Horizon H (années)</t>
        </is>
      </c>
      <c r="B4" s="3" t="n">
        <v>10</v>
      </c>
      <c r="C4" t="inlineStr">
        <is>
          <t>ans</t>
        </is>
      </c>
    </row>
    <row r="5">
      <c r="A5" t="inlineStr">
        <is>
          <t>Kilométrage annuel</t>
        </is>
      </c>
      <c r="B5" s="3" t="n">
        <v>25000</v>
      </c>
      <c r="C5" t="inlineStr">
        <is>
          <t>km/an</t>
        </is>
      </c>
    </row>
    <row r="6">
      <c r="A6" t="inlineStr">
        <is>
          <t>Prix réf (diesel) avant taxes</t>
        </is>
      </c>
      <c r="B6" s="3" t="n">
        <v>45000</v>
      </c>
      <c r="C6" t="inlineStr">
        <is>
          <t>$</t>
        </is>
      </c>
    </row>
    <row r="7">
      <c r="A7" t="inlineStr">
        <is>
          <t>Conso réf</t>
        </is>
      </c>
      <c r="B7" s="3" t="n">
        <v>9</v>
      </c>
      <c r="C7" t="inlineStr">
        <is>
          <t>L/100 km</t>
        </is>
      </c>
    </row>
    <row r="8">
      <c r="A8" t="inlineStr">
        <is>
          <t>Entretien réf</t>
        </is>
      </c>
      <c r="B8" s="3" t="n">
        <v>0.1</v>
      </c>
      <c r="C8" t="inlineStr">
        <is>
          <t>$/km</t>
        </is>
      </c>
    </row>
    <row r="9">
      <c r="A9" t="inlineStr">
        <is>
          <t>Prix alt avant taxes</t>
        </is>
      </c>
      <c r="B9" s="3" t="n">
        <v>49500</v>
      </c>
      <c r="C9" t="inlineStr">
        <is>
          <t>$</t>
        </is>
      </c>
    </row>
    <row r="10">
      <c r="A10" t="inlineStr">
        <is>
          <t>Conso alt (nominale tempérée)</t>
        </is>
      </c>
      <c r="B10" s="3" t="n">
        <v>20</v>
      </c>
      <c r="C10" t="inlineStr">
        <is>
          <t>kWh/100 km</t>
        </is>
      </c>
    </row>
    <row r="11">
      <c r="A11" t="inlineStr">
        <is>
          <t>Entretien alt</t>
        </is>
      </c>
      <c r="B11" s="3" t="n">
        <v>0.07000000000000001</v>
      </c>
      <c r="C11" t="inlineStr">
        <is>
          <t>$/km</t>
        </is>
      </c>
    </row>
    <row r="12">
      <c r="A12" t="inlineStr">
        <is>
          <t>Subvention (montant)</t>
        </is>
      </c>
      <c r="B12" s="3" t="n">
        <v>7000</v>
      </c>
      <c r="C12" t="inlineStr">
        <is>
          <t>$</t>
        </is>
      </c>
    </row>
    <row r="13">
      <c r="A13" t="inlineStr">
        <is>
          <t>Subvention (année de versement)</t>
        </is>
      </c>
      <c r="B13" s="3" t="n">
        <v>0</v>
      </c>
      <c r="C13" t="inlineStr">
        <is>
          <t>année</t>
        </is>
      </c>
    </row>
    <row r="14">
      <c r="A14" t="inlineStr">
        <is>
          <t>Infra — capex avant taxes</t>
        </is>
      </c>
      <c r="B14" s="3" t="n">
        <v>15000</v>
      </c>
      <c r="C14" t="inlineStr">
        <is>
          <t>$</t>
        </is>
      </c>
    </row>
    <row r="15">
      <c r="A15" t="inlineStr">
        <is>
          <t>FE diesel TTW (choix catégorie)</t>
        </is>
      </c>
      <c r="B15" s="4">
        <f>fe_leger</f>
        <v/>
      </c>
      <c r="C15" t="inlineStr">
        <is>
          <t>kg CO2e/L</t>
        </is>
      </c>
    </row>
    <row r="17">
      <c r="A17" s="2" t="inlineStr">
        <is>
          <t>Valeurs dérivées (formules)</t>
        </is>
      </c>
    </row>
    <row r="18">
      <c r="A18" t="inlineStr">
        <is>
          <t>Prix réf avec taxes non récupérables</t>
        </is>
      </c>
      <c r="B18" s="4">
        <f>$B$6*(1+taux_taxes)</f>
        <v/>
      </c>
    </row>
    <row r="19">
      <c r="A19" t="inlineStr">
        <is>
          <t>Prix alt avec taxes non récupérables</t>
        </is>
      </c>
      <c r="B19" s="4">
        <f>$B$9*(1+taux_taxes)</f>
        <v/>
      </c>
    </row>
    <row r="20">
      <c r="A20" t="inlineStr">
        <is>
          <t>Infra avec taxes non récupérables</t>
        </is>
      </c>
      <c r="B20" s="4">
        <f>$B$14*(1+taux_taxes)</f>
        <v/>
      </c>
    </row>
    <row r="21">
      <c r="A21" t="inlineStr">
        <is>
          <t>Conso alt facturée (compteur ou pompe) /100 km</t>
        </is>
      </c>
      <c r="B21" s="4">
        <f>$B$10*fact_hiver/rendement</f>
        <v/>
      </c>
    </row>
    <row r="22">
      <c r="A22" t="inlineStr">
        <is>
          <t>VR réf fin d'horizon (avant taxes, nominale, géométrique planchée)</t>
        </is>
      </c>
      <c r="B22" s="4">
        <f>MAX($B$6*(1-d_diesel)^$B$4,plancher_vr*$B$6)</f>
        <v/>
      </c>
    </row>
    <row r="23">
      <c r="A23" t="inlineStr">
        <is>
          <t>VR alt fin d'horizon (avant taxes, nominale, géométrique planchée)</t>
        </is>
      </c>
      <c r="B23" s="4">
        <f>MAX($B$9*(1-d_bev)^$B$4,plancher_vr*$B$9)</f>
        <v/>
      </c>
    </row>
    <row r="24">
      <c r="A24" t="inlineStr">
        <is>
          <t>Année de ré-achat de l'infra (vide si aucun)</t>
        </is>
      </c>
      <c r="B24" s="4">
        <f>IF(AND($B$14&gt;0,$B$4&gt;duree_vie_infra),duree_vie_infra,"")</f>
        <v/>
      </c>
    </row>
    <row r="25">
      <c r="A25" t="inlineStr">
        <is>
          <t>VR infra fin d'horizon (linéaire, dernier équipement, capex indexé)</t>
        </is>
      </c>
      <c r="B25" s="4">
        <f>IF($B$14=0,0,IF($B$4&gt;duree_vie_infra,$B$14*(1+g_general)^duree_vie_infra*(duree_vie_infra-($B$4-duree_vie_infra))/duree_vie_infra,$B$14*(duree_vie_infra-$B$4)/duree_vie_infra))</f>
        <v/>
      </c>
    </row>
    <row r="28">
      <c r="A28" s="2" t="inlineStr">
        <is>
          <t>n</t>
        </is>
      </c>
      <c r="B28" s="2" t="inlineStr">
        <is>
          <t>Acquisition alt</t>
        </is>
      </c>
      <c r="C28" s="2" t="inlineStr">
        <is>
          <t>Subventions</t>
        </is>
      </c>
      <c r="D28" s="2" t="inlineStr">
        <is>
          <t>Énergie alt</t>
        </is>
      </c>
      <c r="E28" s="2" t="inlineStr">
        <is>
          <t>Entretien alt</t>
        </is>
      </c>
      <c r="F28" s="2" t="inlineStr">
        <is>
          <t>Opex infra</t>
        </is>
      </c>
      <c r="G28" s="2" t="inlineStr">
        <is>
          <t>Résiduels alt</t>
        </is>
      </c>
      <c r="H28" s="2" t="inlineStr">
        <is>
          <t>Flux net alt</t>
        </is>
      </c>
      <c r="I28" s="2" t="inlineStr">
        <is>
          <t>Acquisition réf</t>
        </is>
      </c>
      <c r="J28" s="2" t="inlineStr">
        <is>
          <t>Énergie réf</t>
        </is>
      </c>
      <c r="K28" s="2" t="inlineStr">
        <is>
          <t>Entretien réf</t>
        </is>
      </c>
      <c r="L28" s="2" t="inlineStr">
        <is>
          <t>Résiduels réf</t>
        </is>
      </c>
      <c r="M28" s="2" t="inlineStr">
        <is>
          <t>Flux net réf</t>
        </is>
      </c>
      <c r="N28" s="2" t="inlineStr">
        <is>
          <t>Économie nominale</t>
        </is>
      </c>
      <c r="O28" s="2" t="inlineStr">
        <is>
          <t>Facteur actualisation</t>
        </is>
      </c>
      <c r="P28" s="2" t="inlineStr">
        <is>
          <t>Flux act. alt</t>
        </is>
      </c>
      <c r="Q28" s="2" t="inlineStr">
        <is>
          <t>Flux act. réf</t>
        </is>
      </c>
      <c r="R28" s="2" t="inlineStr">
        <is>
          <t>Cumul économie nominale</t>
        </is>
      </c>
      <c r="S28" s="2" t="inlineStr">
        <is>
          <t>Cumul économie actualisée</t>
        </is>
      </c>
      <c r="T28" s="2" t="inlineStr">
        <is>
          <t>km actualisés</t>
        </is>
      </c>
      <c r="U28" s="2" t="inlineStr">
        <is>
          <t>n si cumul nominal &gt;= 0</t>
        </is>
      </c>
      <c r="V28" s="2" t="inlineStr">
        <is>
          <t>n si cumul actualisé &gt;= 0</t>
        </is>
      </c>
      <c r="W28" s="2" t="inlineStr">
        <is>
          <t>TTW réf (t)</t>
        </is>
      </c>
      <c r="X28" s="2" t="inlineStr">
        <is>
          <t>WTW réf (t)</t>
        </is>
      </c>
      <c r="Y28" s="2" t="inlineStr">
        <is>
          <t>WTW alt (t)</t>
        </is>
      </c>
    </row>
    <row r="29">
      <c r="A29" t="n">
        <v>0</v>
      </c>
      <c r="B29" s="5">
        <f>IF(A29=0,$B$19+$B$20,IF(A29=$B$24,$B$14*(1+g_general)^A29*(1+taux_taxes),0))</f>
        <v/>
      </c>
      <c r="C29" s="5">
        <f>IF(A29=$B$13,$B$12,0)</f>
        <v/>
      </c>
      <c r="D29" s="5">
        <f>IF(A29=0,0,$B$5*$B$21/100*prix_elec*(1+g_elec)^A29*(1+taux_taxes))</f>
        <v/>
      </c>
      <c r="E29" s="5">
        <f>IF(A29=0,0,$B$5*$B$11*(1+g_entretien)^A29*(1+taux_taxes))</f>
        <v/>
      </c>
      <c r="F29" s="5">
        <f>IF(A29=0,0,infra_entretien_pct*$B$14*(1+g_entretien)^A29*(1+taux_taxes))</f>
        <v/>
      </c>
      <c r="G29" s="5">
        <f>IF(A29=$B$4,$B$23+$B$25,0)</f>
        <v/>
      </c>
      <c r="H29" s="5">
        <f>B29-C29+D29+E29+F29-G29</f>
        <v/>
      </c>
      <c r="I29" s="5">
        <f>IF(A29=0,$B$18,0)</f>
        <v/>
      </c>
      <c r="J29" s="5">
        <f>IF(A29=0,0,$B$5*$B$7/100*prix_diesel*(1+g_diesel)^A29*(1+taux_taxes))</f>
        <v/>
      </c>
      <c r="K29" s="5">
        <f>IF(A29=0,0,$B$5*$B$8*(1+g_entretien)^A29*(1+taux_taxes))</f>
        <v/>
      </c>
      <c r="L29" s="5">
        <f>IF(A29=$B$4,$B$22,0)</f>
        <v/>
      </c>
      <c r="M29" s="5">
        <f>I29+J29+K29-L29</f>
        <v/>
      </c>
      <c r="N29" s="5">
        <f>M29-H29</f>
        <v/>
      </c>
      <c r="O29" s="5">
        <f>1/(1+taux_r)^A29</f>
        <v/>
      </c>
      <c r="P29" s="5">
        <f>H29*O29</f>
        <v/>
      </c>
      <c r="Q29" s="5">
        <f>M29*O29</f>
        <v/>
      </c>
      <c r="R29" s="5">
        <f>N29</f>
        <v/>
      </c>
      <c r="S29" s="5">
        <f>N29*O29</f>
        <v/>
      </c>
      <c r="T29" s="5">
        <f>IF(A29=0,0,$B$5*O29)</f>
        <v/>
      </c>
      <c r="U29" s="6">
        <f>IF(R29&gt;=0,A29,"")</f>
        <v/>
      </c>
      <c r="V29" s="6">
        <f>IF(S29&gt;=0,A29,"")</f>
        <v/>
      </c>
      <c r="W29" s="6">
        <f>IF(A29=0,0,$B$5*$B$7/100*$B$15/1000)</f>
        <v/>
      </c>
      <c r="X29" s="6">
        <f>W29*ratio_wtw</f>
        <v/>
      </c>
      <c r="Y29" s="6">
        <f>IF(A29=0,0,$B$5*$B$21/100*fe_elec/1000000)</f>
        <v/>
      </c>
    </row>
    <row r="30">
      <c r="A30">
        <f>A29+1</f>
        <v/>
      </c>
      <c r="B30" s="5">
        <f>IF(A30=0,$B$19+$B$20,IF(A30=$B$24,$B$14*(1+g_general)^A30*(1+taux_taxes),0))</f>
        <v/>
      </c>
      <c r="C30" s="5">
        <f>IF(A30=$B$13,$B$12,0)</f>
        <v/>
      </c>
      <c r="D30" s="5">
        <f>IF(A30=0,0,$B$5*$B$21/100*prix_elec*(1+g_elec)^A30*(1+taux_taxes))</f>
        <v/>
      </c>
      <c r="E30" s="5">
        <f>IF(A30=0,0,$B$5*$B$11*(1+g_entretien)^A30*(1+taux_taxes))</f>
        <v/>
      </c>
      <c r="F30" s="5">
        <f>IF(A30=0,0,infra_entretien_pct*$B$14*(1+g_entretien)^A30*(1+taux_taxes))</f>
        <v/>
      </c>
      <c r="G30" s="5">
        <f>IF(A30=$B$4,$B$23+$B$25,0)</f>
        <v/>
      </c>
      <c r="H30" s="5">
        <f>B30-C30+D30+E30+F30-G30</f>
        <v/>
      </c>
      <c r="I30" s="5">
        <f>IF(A30=0,$B$18,0)</f>
        <v/>
      </c>
      <c r="J30" s="5">
        <f>IF(A30=0,0,$B$5*$B$7/100*prix_diesel*(1+g_diesel)^A30*(1+taux_taxes))</f>
        <v/>
      </c>
      <c r="K30" s="5">
        <f>IF(A30=0,0,$B$5*$B$8*(1+g_entretien)^A30*(1+taux_taxes))</f>
        <v/>
      </c>
      <c r="L30" s="5">
        <f>IF(A30=$B$4,$B$22,0)</f>
        <v/>
      </c>
      <c r="M30" s="5">
        <f>I30+J30+K30-L30</f>
        <v/>
      </c>
      <c r="N30" s="5">
        <f>M30-H30</f>
        <v/>
      </c>
      <c r="O30" s="5">
        <f>1/(1+taux_r)^A30</f>
        <v/>
      </c>
      <c r="P30" s="5">
        <f>H30*O30</f>
        <v/>
      </c>
      <c r="Q30" s="5">
        <f>M30*O30</f>
        <v/>
      </c>
      <c r="R30" s="5">
        <f>R29+N30</f>
        <v/>
      </c>
      <c r="S30" s="5">
        <f>S29+N30*O30</f>
        <v/>
      </c>
      <c r="T30" s="5">
        <f>IF(A30=0,0,$B$5*O30)</f>
        <v/>
      </c>
      <c r="U30" s="6">
        <f>IF(R30&gt;=0,A30,"")</f>
        <v/>
      </c>
      <c r="V30" s="6">
        <f>IF(S30&gt;=0,A30,"")</f>
        <v/>
      </c>
      <c r="W30" s="6">
        <f>IF(A30=0,0,$B$5*$B$7/100*$B$15/1000)</f>
        <v/>
      </c>
      <c r="X30" s="6">
        <f>W30*ratio_wtw</f>
        <v/>
      </c>
      <c r="Y30" s="6">
        <f>IF(A30=0,0,$B$5*$B$21/100*fe_elec/1000000)</f>
        <v/>
      </c>
    </row>
    <row r="31">
      <c r="A31">
        <f>A30+1</f>
        <v/>
      </c>
      <c r="B31" s="5">
        <f>IF(A31=0,$B$19+$B$20,IF(A31=$B$24,$B$14*(1+g_general)^A31*(1+taux_taxes),0))</f>
        <v/>
      </c>
      <c r="C31" s="5">
        <f>IF(A31=$B$13,$B$12,0)</f>
        <v/>
      </c>
      <c r="D31" s="5">
        <f>IF(A31=0,0,$B$5*$B$21/100*prix_elec*(1+g_elec)^A31*(1+taux_taxes))</f>
        <v/>
      </c>
      <c r="E31" s="5">
        <f>IF(A31=0,0,$B$5*$B$11*(1+g_entretien)^A31*(1+taux_taxes))</f>
        <v/>
      </c>
      <c r="F31" s="5">
        <f>IF(A31=0,0,infra_entretien_pct*$B$14*(1+g_entretien)^A31*(1+taux_taxes))</f>
        <v/>
      </c>
      <c r="G31" s="5">
        <f>IF(A31=$B$4,$B$23+$B$25,0)</f>
        <v/>
      </c>
      <c r="H31" s="5">
        <f>B31-C31+D31+E31+F31-G31</f>
        <v/>
      </c>
      <c r="I31" s="5">
        <f>IF(A31=0,$B$18,0)</f>
        <v/>
      </c>
      <c r="J31" s="5">
        <f>IF(A31=0,0,$B$5*$B$7/100*prix_diesel*(1+g_diesel)^A31*(1+taux_taxes))</f>
        <v/>
      </c>
      <c r="K31" s="5">
        <f>IF(A31=0,0,$B$5*$B$8*(1+g_entretien)^A31*(1+taux_taxes))</f>
        <v/>
      </c>
      <c r="L31" s="5">
        <f>IF(A31=$B$4,$B$22,0)</f>
        <v/>
      </c>
      <c r="M31" s="5">
        <f>I31+J31+K31-L31</f>
        <v/>
      </c>
      <c r="N31" s="5">
        <f>M31-H31</f>
        <v/>
      </c>
      <c r="O31" s="5">
        <f>1/(1+taux_r)^A31</f>
        <v/>
      </c>
      <c r="P31" s="5">
        <f>H31*O31</f>
        <v/>
      </c>
      <c r="Q31" s="5">
        <f>M31*O31</f>
        <v/>
      </c>
      <c r="R31" s="5">
        <f>R30+N31</f>
        <v/>
      </c>
      <c r="S31" s="5">
        <f>S30+N31*O31</f>
        <v/>
      </c>
      <c r="T31" s="5">
        <f>IF(A31=0,0,$B$5*O31)</f>
        <v/>
      </c>
      <c r="U31" s="6">
        <f>IF(R31&gt;=0,A31,"")</f>
        <v/>
      </c>
      <c r="V31" s="6">
        <f>IF(S31&gt;=0,A31,"")</f>
        <v/>
      </c>
      <c r="W31" s="6">
        <f>IF(A31=0,0,$B$5*$B$7/100*$B$15/1000)</f>
        <v/>
      </c>
      <c r="X31" s="6">
        <f>W31*ratio_wtw</f>
        <v/>
      </c>
      <c r="Y31" s="6">
        <f>IF(A31=0,0,$B$5*$B$21/100*fe_elec/1000000)</f>
        <v/>
      </c>
    </row>
    <row r="32">
      <c r="A32">
        <f>A31+1</f>
        <v/>
      </c>
      <c r="B32" s="5">
        <f>IF(A32=0,$B$19+$B$20,IF(A32=$B$24,$B$14*(1+g_general)^A32*(1+taux_taxes),0))</f>
        <v/>
      </c>
      <c r="C32" s="5">
        <f>IF(A32=$B$13,$B$12,0)</f>
        <v/>
      </c>
      <c r="D32" s="5">
        <f>IF(A32=0,0,$B$5*$B$21/100*prix_elec*(1+g_elec)^A32*(1+taux_taxes))</f>
        <v/>
      </c>
      <c r="E32" s="5">
        <f>IF(A32=0,0,$B$5*$B$11*(1+g_entretien)^A32*(1+taux_taxes))</f>
        <v/>
      </c>
      <c r="F32" s="5">
        <f>IF(A32=0,0,infra_entretien_pct*$B$14*(1+g_entretien)^A32*(1+taux_taxes))</f>
        <v/>
      </c>
      <c r="G32" s="5">
        <f>IF(A32=$B$4,$B$23+$B$25,0)</f>
        <v/>
      </c>
      <c r="H32" s="5">
        <f>B32-C32+D32+E32+F32-G32</f>
        <v/>
      </c>
      <c r="I32" s="5">
        <f>IF(A32=0,$B$18,0)</f>
        <v/>
      </c>
      <c r="J32" s="5">
        <f>IF(A32=0,0,$B$5*$B$7/100*prix_diesel*(1+g_diesel)^A32*(1+taux_taxes))</f>
        <v/>
      </c>
      <c r="K32" s="5">
        <f>IF(A32=0,0,$B$5*$B$8*(1+g_entretien)^A32*(1+taux_taxes))</f>
        <v/>
      </c>
      <c r="L32" s="5">
        <f>IF(A32=$B$4,$B$22,0)</f>
        <v/>
      </c>
      <c r="M32" s="5">
        <f>I32+J32+K32-L32</f>
        <v/>
      </c>
      <c r="N32" s="5">
        <f>M32-H32</f>
        <v/>
      </c>
      <c r="O32" s="5">
        <f>1/(1+taux_r)^A32</f>
        <v/>
      </c>
      <c r="P32" s="5">
        <f>H32*O32</f>
        <v/>
      </c>
      <c r="Q32" s="5">
        <f>M32*O32</f>
        <v/>
      </c>
      <c r="R32" s="5">
        <f>R31+N32</f>
        <v/>
      </c>
      <c r="S32" s="5">
        <f>S31+N32*O32</f>
        <v/>
      </c>
      <c r="T32" s="5">
        <f>IF(A32=0,0,$B$5*O32)</f>
        <v/>
      </c>
      <c r="U32" s="6">
        <f>IF(R32&gt;=0,A32,"")</f>
        <v/>
      </c>
      <c r="V32" s="6">
        <f>IF(S32&gt;=0,A32,"")</f>
        <v/>
      </c>
      <c r="W32" s="6">
        <f>IF(A32=0,0,$B$5*$B$7/100*$B$15/1000)</f>
        <v/>
      </c>
      <c r="X32" s="6">
        <f>W32*ratio_wtw</f>
        <v/>
      </c>
      <c r="Y32" s="6">
        <f>IF(A32=0,0,$B$5*$B$21/100*fe_elec/1000000)</f>
        <v/>
      </c>
    </row>
    <row r="33">
      <c r="A33">
        <f>A32+1</f>
        <v/>
      </c>
      <c r="B33" s="5">
        <f>IF(A33=0,$B$19+$B$20,IF(A33=$B$24,$B$14*(1+g_general)^A33*(1+taux_taxes),0))</f>
        <v/>
      </c>
      <c r="C33" s="5">
        <f>IF(A33=$B$13,$B$12,0)</f>
        <v/>
      </c>
      <c r="D33" s="5">
        <f>IF(A33=0,0,$B$5*$B$21/100*prix_elec*(1+g_elec)^A33*(1+taux_taxes))</f>
        <v/>
      </c>
      <c r="E33" s="5">
        <f>IF(A33=0,0,$B$5*$B$11*(1+g_entretien)^A33*(1+taux_taxes))</f>
        <v/>
      </c>
      <c r="F33" s="5">
        <f>IF(A33=0,0,infra_entretien_pct*$B$14*(1+g_entretien)^A33*(1+taux_taxes))</f>
        <v/>
      </c>
      <c r="G33" s="5">
        <f>IF(A33=$B$4,$B$23+$B$25,0)</f>
        <v/>
      </c>
      <c r="H33" s="5">
        <f>B33-C33+D33+E33+F33-G33</f>
        <v/>
      </c>
      <c r="I33" s="5">
        <f>IF(A33=0,$B$18,0)</f>
        <v/>
      </c>
      <c r="J33" s="5">
        <f>IF(A33=0,0,$B$5*$B$7/100*prix_diesel*(1+g_diesel)^A33*(1+taux_taxes))</f>
        <v/>
      </c>
      <c r="K33" s="5">
        <f>IF(A33=0,0,$B$5*$B$8*(1+g_entretien)^A33*(1+taux_taxes))</f>
        <v/>
      </c>
      <c r="L33" s="5">
        <f>IF(A33=$B$4,$B$22,0)</f>
        <v/>
      </c>
      <c r="M33" s="5">
        <f>I33+J33+K33-L33</f>
        <v/>
      </c>
      <c r="N33" s="5">
        <f>M33-H33</f>
        <v/>
      </c>
      <c r="O33" s="5">
        <f>1/(1+taux_r)^A33</f>
        <v/>
      </c>
      <c r="P33" s="5">
        <f>H33*O33</f>
        <v/>
      </c>
      <c r="Q33" s="5">
        <f>M33*O33</f>
        <v/>
      </c>
      <c r="R33" s="5">
        <f>R32+N33</f>
        <v/>
      </c>
      <c r="S33" s="5">
        <f>S32+N33*O33</f>
        <v/>
      </c>
      <c r="T33" s="5">
        <f>IF(A33=0,0,$B$5*O33)</f>
        <v/>
      </c>
      <c r="U33" s="6">
        <f>IF(R33&gt;=0,A33,"")</f>
        <v/>
      </c>
      <c r="V33" s="6">
        <f>IF(S33&gt;=0,A33,"")</f>
        <v/>
      </c>
      <c r="W33" s="6">
        <f>IF(A33=0,0,$B$5*$B$7/100*$B$15/1000)</f>
        <v/>
      </c>
      <c r="X33" s="6">
        <f>W33*ratio_wtw</f>
        <v/>
      </c>
      <c r="Y33" s="6">
        <f>IF(A33=0,0,$B$5*$B$21/100*fe_elec/1000000)</f>
        <v/>
      </c>
    </row>
    <row r="34">
      <c r="A34">
        <f>A33+1</f>
        <v/>
      </c>
      <c r="B34" s="5">
        <f>IF(A34=0,$B$19+$B$20,IF(A34=$B$24,$B$14*(1+g_general)^A34*(1+taux_taxes),0))</f>
        <v/>
      </c>
      <c r="C34" s="5">
        <f>IF(A34=$B$13,$B$12,0)</f>
        <v/>
      </c>
      <c r="D34" s="5">
        <f>IF(A34=0,0,$B$5*$B$21/100*prix_elec*(1+g_elec)^A34*(1+taux_taxes))</f>
        <v/>
      </c>
      <c r="E34" s="5">
        <f>IF(A34=0,0,$B$5*$B$11*(1+g_entretien)^A34*(1+taux_taxes))</f>
        <v/>
      </c>
      <c r="F34" s="5">
        <f>IF(A34=0,0,infra_entretien_pct*$B$14*(1+g_entretien)^A34*(1+taux_taxes))</f>
        <v/>
      </c>
      <c r="G34" s="5">
        <f>IF(A34=$B$4,$B$23+$B$25,0)</f>
        <v/>
      </c>
      <c r="H34" s="5">
        <f>B34-C34+D34+E34+F34-G34</f>
        <v/>
      </c>
      <c r="I34" s="5">
        <f>IF(A34=0,$B$18,0)</f>
        <v/>
      </c>
      <c r="J34" s="5">
        <f>IF(A34=0,0,$B$5*$B$7/100*prix_diesel*(1+g_diesel)^A34*(1+taux_taxes))</f>
        <v/>
      </c>
      <c r="K34" s="5">
        <f>IF(A34=0,0,$B$5*$B$8*(1+g_entretien)^A34*(1+taux_taxes))</f>
        <v/>
      </c>
      <c r="L34" s="5">
        <f>IF(A34=$B$4,$B$22,0)</f>
        <v/>
      </c>
      <c r="M34" s="5">
        <f>I34+J34+K34-L34</f>
        <v/>
      </c>
      <c r="N34" s="5">
        <f>M34-H34</f>
        <v/>
      </c>
      <c r="O34" s="5">
        <f>1/(1+taux_r)^A34</f>
        <v/>
      </c>
      <c r="P34" s="5">
        <f>H34*O34</f>
        <v/>
      </c>
      <c r="Q34" s="5">
        <f>M34*O34</f>
        <v/>
      </c>
      <c r="R34" s="5">
        <f>R33+N34</f>
        <v/>
      </c>
      <c r="S34" s="5">
        <f>S33+N34*O34</f>
        <v/>
      </c>
      <c r="T34" s="5">
        <f>IF(A34=0,0,$B$5*O34)</f>
        <v/>
      </c>
      <c r="U34" s="6">
        <f>IF(R34&gt;=0,A34,"")</f>
        <v/>
      </c>
      <c r="V34" s="6">
        <f>IF(S34&gt;=0,A34,"")</f>
        <v/>
      </c>
      <c r="W34" s="6">
        <f>IF(A34=0,0,$B$5*$B$7/100*$B$15/1000)</f>
        <v/>
      </c>
      <c r="X34" s="6">
        <f>W34*ratio_wtw</f>
        <v/>
      </c>
      <c r="Y34" s="6">
        <f>IF(A34=0,0,$B$5*$B$21/100*fe_elec/1000000)</f>
        <v/>
      </c>
    </row>
    <row r="35">
      <c r="A35">
        <f>A34+1</f>
        <v/>
      </c>
      <c r="B35" s="5">
        <f>IF(A35=0,$B$19+$B$20,IF(A35=$B$24,$B$14*(1+g_general)^A35*(1+taux_taxes),0))</f>
        <v/>
      </c>
      <c r="C35" s="5">
        <f>IF(A35=$B$13,$B$12,0)</f>
        <v/>
      </c>
      <c r="D35" s="5">
        <f>IF(A35=0,0,$B$5*$B$21/100*prix_elec*(1+g_elec)^A35*(1+taux_taxes))</f>
        <v/>
      </c>
      <c r="E35" s="5">
        <f>IF(A35=0,0,$B$5*$B$11*(1+g_entretien)^A35*(1+taux_taxes))</f>
        <v/>
      </c>
      <c r="F35" s="5">
        <f>IF(A35=0,0,infra_entretien_pct*$B$14*(1+g_entretien)^A35*(1+taux_taxes))</f>
        <v/>
      </c>
      <c r="G35" s="5">
        <f>IF(A35=$B$4,$B$23+$B$25,0)</f>
        <v/>
      </c>
      <c r="H35" s="5">
        <f>B35-C35+D35+E35+F35-G35</f>
        <v/>
      </c>
      <c r="I35" s="5">
        <f>IF(A35=0,$B$18,0)</f>
        <v/>
      </c>
      <c r="J35" s="5">
        <f>IF(A35=0,0,$B$5*$B$7/100*prix_diesel*(1+g_diesel)^A35*(1+taux_taxes))</f>
        <v/>
      </c>
      <c r="K35" s="5">
        <f>IF(A35=0,0,$B$5*$B$8*(1+g_entretien)^A35*(1+taux_taxes))</f>
        <v/>
      </c>
      <c r="L35" s="5">
        <f>IF(A35=$B$4,$B$22,0)</f>
        <v/>
      </c>
      <c r="M35" s="5">
        <f>I35+J35+K35-L35</f>
        <v/>
      </c>
      <c r="N35" s="5">
        <f>M35-H35</f>
        <v/>
      </c>
      <c r="O35" s="5">
        <f>1/(1+taux_r)^A35</f>
        <v/>
      </c>
      <c r="P35" s="5">
        <f>H35*O35</f>
        <v/>
      </c>
      <c r="Q35" s="5">
        <f>M35*O35</f>
        <v/>
      </c>
      <c r="R35" s="5">
        <f>R34+N35</f>
        <v/>
      </c>
      <c r="S35" s="5">
        <f>S34+N35*O35</f>
        <v/>
      </c>
      <c r="T35" s="5">
        <f>IF(A35=0,0,$B$5*O35)</f>
        <v/>
      </c>
      <c r="U35" s="6">
        <f>IF(R35&gt;=0,A35,"")</f>
        <v/>
      </c>
      <c r="V35" s="6">
        <f>IF(S35&gt;=0,A35,"")</f>
        <v/>
      </c>
      <c r="W35" s="6">
        <f>IF(A35=0,0,$B$5*$B$7/100*$B$15/1000)</f>
        <v/>
      </c>
      <c r="X35" s="6">
        <f>W35*ratio_wtw</f>
        <v/>
      </c>
      <c r="Y35" s="6">
        <f>IF(A35=0,0,$B$5*$B$21/100*fe_elec/1000000)</f>
        <v/>
      </c>
    </row>
    <row r="36">
      <c r="A36">
        <f>A35+1</f>
        <v/>
      </c>
      <c r="B36" s="5">
        <f>IF(A36=0,$B$19+$B$20,IF(A36=$B$24,$B$14*(1+g_general)^A36*(1+taux_taxes),0))</f>
        <v/>
      </c>
      <c r="C36" s="5">
        <f>IF(A36=$B$13,$B$12,0)</f>
        <v/>
      </c>
      <c r="D36" s="5">
        <f>IF(A36=0,0,$B$5*$B$21/100*prix_elec*(1+g_elec)^A36*(1+taux_taxes))</f>
        <v/>
      </c>
      <c r="E36" s="5">
        <f>IF(A36=0,0,$B$5*$B$11*(1+g_entretien)^A36*(1+taux_taxes))</f>
        <v/>
      </c>
      <c r="F36" s="5">
        <f>IF(A36=0,0,infra_entretien_pct*$B$14*(1+g_entretien)^A36*(1+taux_taxes))</f>
        <v/>
      </c>
      <c r="G36" s="5">
        <f>IF(A36=$B$4,$B$23+$B$25,0)</f>
        <v/>
      </c>
      <c r="H36" s="5">
        <f>B36-C36+D36+E36+F36-G36</f>
        <v/>
      </c>
      <c r="I36" s="5">
        <f>IF(A36=0,$B$18,0)</f>
        <v/>
      </c>
      <c r="J36" s="5">
        <f>IF(A36=0,0,$B$5*$B$7/100*prix_diesel*(1+g_diesel)^A36*(1+taux_taxes))</f>
        <v/>
      </c>
      <c r="K36" s="5">
        <f>IF(A36=0,0,$B$5*$B$8*(1+g_entretien)^A36*(1+taux_taxes))</f>
        <v/>
      </c>
      <c r="L36" s="5">
        <f>IF(A36=$B$4,$B$22,0)</f>
        <v/>
      </c>
      <c r="M36" s="5">
        <f>I36+J36+K36-L36</f>
        <v/>
      </c>
      <c r="N36" s="5">
        <f>M36-H36</f>
        <v/>
      </c>
      <c r="O36" s="5">
        <f>1/(1+taux_r)^A36</f>
        <v/>
      </c>
      <c r="P36" s="5">
        <f>H36*O36</f>
        <v/>
      </c>
      <c r="Q36" s="5">
        <f>M36*O36</f>
        <v/>
      </c>
      <c r="R36" s="5">
        <f>R35+N36</f>
        <v/>
      </c>
      <c r="S36" s="5">
        <f>S35+N36*O36</f>
        <v/>
      </c>
      <c r="T36" s="5">
        <f>IF(A36=0,0,$B$5*O36)</f>
        <v/>
      </c>
      <c r="U36" s="6">
        <f>IF(R36&gt;=0,A36,"")</f>
        <v/>
      </c>
      <c r="V36" s="6">
        <f>IF(S36&gt;=0,A36,"")</f>
        <v/>
      </c>
      <c r="W36" s="6">
        <f>IF(A36=0,0,$B$5*$B$7/100*$B$15/1000)</f>
        <v/>
      </c>
      <c r="X36" s="6">
        <f>W36*ratio_wtw</f>
        <v/>
      </c>
      <c r="Y36" s="6">
        <f>IF(A36=0,0,$B$5*$B$21/100*fe_elec/1000000)</f>
        <v/>
      </c>
    </row>
    <row r="37">
      <c r="A37">
        <f>A36+1</f>
        <v/>
      </c>
      <c r="B37" s="5">
        <f>IF(A37=0,$B$19+$B$20,IF(A37=$B$24,$B$14*(1+g_general)^A37*(1+taux_taxes),0))</f>
        <v/>
      </c>
      <c r="C37" s="5">
        <f>IF(A37=$B$13,$B$12,0)</f>
        <v/>
      </c>
      <c r="D37" s="5">
        <f>IF(A37=0,0,$B$5*$B$21/100*prix_elec*(1+g_elec)^A37*(1+taux_taxes))</f>
        <v/>
      </c>
      <c r="E37" s="5">
        <f>IF(A37=0,0,$B$5*$B$11*(1+g_entretien)^A37*(1+taux_taxes))</f>
        <v/>
      </c>
      <c r="F37" s="5">
        <f>IF(A37=0,0,infra_entretien_pct*$B$14*(1+g_entretien)^A37*(1+taux_taxes))</f>
        <v/>
      </c>
      <c r="G37" s="5">
        <f>IF(A37=$B$4,$B$23+$B$25,0)</f>
        <v/>
      </c>
      <c r="H37" s="5">
        <f>B37-C37+D37+E37+F37-G37</f>
        <v/>
      </c>
      <c r="I37" s="5">
        <f>IF(A37=0,$B$18,0)</f>
        <v/>
      </c>
      <c r="J37" s="5">
        <f>IF(A37=0,0,$B$5*$B$7/100*prix_diesel*(1+g_diesel)^A37*(1+taux_taxes))</f>
        <v/>
      </c>
      <c r="K37" s="5">
        <f>IF(A37=0,0,$B$5*$B$8*(1+g_entretien)^A37*(1+taux_taxes))</f>
        <v/>
      </c>
      <c r="L37" s="5">
        <f>IF(A37=$B$4,$B$22,0)</f>
        <v/>
      </c>
      <c r="M37" s="5">
        <f>I37+J37+K37-L37</f>
        <v/>
      </c>
      <c r="N37" s="5">
        <f>M37-H37</f>
        <v/>
      </c>
      <c r="O37" s="5">
        <f>1/(1+taux_r)^A37</f>
        <v/>
      </c>
      <c r="P37" s="5">
        <f>H37*O37</f>
        <v/>
      </c>
      <c r="Q37" s="5">
        <f>M37*O37</f>
        <v/>
      </c>
      <c r="R37" s="5">
        <f>R36+N37</f>
        <v/>
      </c>
      <c r="S37" s="5">
        <f>S36+N37*O37</f>
        <v/>
      </c>
      <c r="T37" s="5">
        <f>IF(A37=0,0,$B$5*O37)</f>
        <v/>
      </c>
      <c r="U37" s="6">
        <f>IF(R37&gt;=0,A37,"")</f>
        <v/>
      </c>
      <c r="V37" s="6">
        <f>IF(S37&gt;=0,A37,"")</f>
        <v/>
      </c>
      <c r="W37" s="6">
        <f>IF(A37=0,0,$B$5*$B$7/100*$B$15/1000)</f>
        <v/>
      </c>
      <c r="X37" s="6">
        <f>W37*ratio_wtw</f>
        <v/>
      </c>
      <c r="Y37" s="6">
        <f>IF(A37=0,0,$B$5*$B$21/100*fe_elec/1000000)</f>
        <v/>
      </c>
    </row>
    <row r="38">
      <c r="A38">
        <f>A37+1</f>
        <v/>
      </c>
      <c r="B38" s="5">
        <f>IF(A38=0,$B$19+$B$20,IF(A38=$B$24,$B$14*(1+g_general)^A38*(1+taux_taxes),0))</f>
        <v/>
      </c>
      <c r="C38" s="5">
        <f>IF(A38=$B$13,$B$12,0)</f>
        <v/>
      </c>
      <c r="D38" s="5">
        <f>IF(A38=0,0,$B$5*$B$21/100*prix_elec*(1+g_elec)^A38*(1+taux_taxes))</f>
        <v/>
      </c>
      <c r="E38" s="5">
        <f>IF(A38=0,0,$B$5*$B$11*(1+g_entretien)^A38*(1+taux_taxes))</f>
        <v/>
      </c>
      <c r="F38" s="5">
        <f>IF(A38=0,0,infra_entretien_pct*$B$14*(1+g_entretien)^A38*(1+taux_taxes))</f>
        <v/>
      </c>
      <c r="G38" s="5">
        <f>IF(A38=$B$4,$B$23+$B$25,0)</f>
        <v/>
      </c>
      <c r="H38" s="5">
        <f>B38-C38+D38+E38+F38-G38</f>
        <v/>
      </c>
      <c r="I38" s="5">
        <f>IF(A38=0,$B$18,0)</f>
        <v/>
      </c>
      <c r="J38" s="5">
        <f>IF(A38=0,0,$B$5*$B$7/100*prix_diesel*(1+g_diesel)^A38*(1+taux_taxes))</f>
        <v/>
      </c>
      <c r="K38" s="5">
        <f>IF(A38=0,0,$B$5*$B$8*(1+g_entretien)^A38*(1+taux_taxes))</f>
        <v/>
      </c>
      <c r="L38" s="5">
        <f>IF(A38=$B$4,$B$22,0)</f>
        <v/>
      </c>
      <c r="M38" s="5">
        <f>I38+J38+K38-L38</f>
        <v/>
      </c>
      <c r="N38" s="5">
        <f>M38-H38</f>
        <v/>
      </c>
      <c r="O38" s="5">
        <f>1/(1+taux_r)^A38</f>
        <v/>
      </c>
      <c r="P38" s="5">
        <f>H38*O38</f>
        <v/>
      </c>
      <c r="Q38" s="5">
        <f>M38*O38</f>
        <v/>
      </c>
      <c r="R38" s="5">
        <f>R37+N38</f>
        <v/>
      </c>
      <c r="S38" s="5">
        <f>S37+N38*O38</f>
        <v/>
      </c>
      <c r="T38" s="5">
        <f>IF(A38=0,0,$B$5*O38)</f>
        <v/>
      </c>
      <c r="U38" s="6">
        <f>IF(R38&gt;=0,A38,"")</f>
        <v/>
      </c>
      <c r="V38" s="6">
        <f>IF(S38&gt;=0,A38,"")</f>
        <v/>
      </c>
      <c r="W38" s="6">
        <f>IF(A38=0,0,$B$5*$B$7/100*$B$15/1000)</f>
        <v/>
      </c>
      <c r="X38" s="6">
        <f>W38*ratio_wtw</f>
        <v/>
      </c>
      <c r="Y38" s="6">
        <f>IF(A38=0,0,$B$5*$B$21/100*fe_elec/1000000)</f>
        <v/>
      </c>
    </row>
    <row r="39">
      <c r="A39">
        <f>A38+1</f>
        <v/>
      </c>
      <c r="B39" s="5">
        <f>IF(A39=0,$B$19+$B$20,IF(A39=$B$24,$B$14*(1+g_general)^A39*(1+taux_taxes),0))</f>
        <v/>
      </c>
      <c r="C39" s="5">
        <f>IF(A39=$B$13,$B$12,0)</f>
        <v/>
      </c>
      <c r="D39" s="5">
        <f>IF(A39=0,0,$B$5*$B$21/100*prix_elec*(1+g_elec)^A39*(1+taux_taxes))</f>
        <v/>
      </c>
      <c r="E39" s="5">
        <f>IF(A39=0,0,$B$5*$B$11*(1+g_entretien)^A39*(1+taux_taxes))</f>
        <v/>
      </c>
      <c r="F39" s="5">
        <f>IF(A39=0,0,infra_entretien_pct*$B$14*(1+g_entretien)^A39*(1+taux_taxes))</f>
        <v/>
      </c>
      <c r="G39" s="5">
        <f>IF(A39=$B$4,$B$23+$B$25,0)</f>
        <v/>
      </c>
      <c r="H39" s="5">
        <f>B39-C39+D39+E39+F39-G39</f>
        <v/>
      </c>
      <c r="I39" s="5">
        <f>IF(A39=0,$B$18,0)</f>
        <v/>
      </c>
      <c r="J39" s="5">
        <f>IF(A39=0,0,$B$5*$B$7/100*prix_diesel*(1+g_diesel)^A39*(1+taux_taxes))</f>
        <v/>
      </c>
      <c r="K39" s="5">
        <f>IF(A39=0,0,$B$5*$B$8*(1+g_entretien)^A39*(1+taux_taxes))</f>
        <v/>
      </c>
      <c r="L39" s="5">
        <f>IF(A39=$B$4,$B$22,0)</f>
        <v/>
      </c>
      <c r="M39" s="5">
        <f>I39+J39+K39-L39</f>
        <v/>
      </c>
      <c r="N39" s="5">
        <f>M39-H39</f>
        <v/>
      </c>
      <c r="O39" s="5">
        <f>1/(1+taux_r)^A39</f>
        <v/>
      </c>
      <c r="P39" s="5">
        <f>H39*O39</f>
        <v/>
      </c>
      <c r="Q39" s="5">
        <f>M39*O39</f>
        <v/>
      </c>
      <c r="R39" s="5">
        <f>R38+N39</f>
        <v/>
      </c>
      <c r="S39" s="5">
        <f>S38+N39*O39</f>
        <v/>
      </c>
      <c r="T39" s="5">
        <f>IF(A39=0,0,$B$5*O39)</f>
        <v/>
      </c>
      <c r="U39" s="6">
        <f>IF(R39&gt;=0,A39,"")</f>
        <v/>
      </c>
      <c r="V39" s="6">
        <f>IF(S39&gt;=0,A39,"")</f>
        <v/>
      </c>
      <c r="W39" s="6">
        <f>IF(A39=0,0,$B$5*$B$7/100*$B$15/1000)</f>
        <v/>
      </c>
      <c r="X39" s="6">
        <f>W39*ratio_wtw</f>
        <v/>
      </c>
      <c r="Y39" s="6">
        <f>IF(A39=0,0,$B$5*$B$21/100*fe_elec/1000000)</f>
        <v/>
      </c>
    </row>
    <row r="41">
      <c r="A41" s="2" t="inlineStr">
        <is>
          <t>Résultats (formules)</t>
        </is>
      </c>
      <c r="C41" s="2" t="inlineStr">
        <is>
          <t>Attendu (contre-calcul indépendant, JSON) — comparaison seulement</t>
        </is>
      </c>
    </row>
    <row r="42">
      <c r="A42" s="2" t="inlineStr">
        <is>
          <t>TCO actualisé — alternative ($)</t>
        </is>
      </c>
      <c r="B42" s="4">
        <f>SUM(P29:P39)</f>
        <v/>
      </c>
      <c r="C42" s="7" t="n">
        <v>79587.62</v>
      </c>
    </row>
    <row r="43">
      <c r="A43" s="2" t="inlineStr">
        <is>
          <t>TCO actualisé — référence ($)</t>
        </is>
      </c>
      <c r="B43" s="4">
        <f>SUM(Q29:Q39)</f>
        <v/>
      </c>
      <c r="C43" s="7" t="n">
        <v>103541.03</v>
      </c>
    </row>
    <row r="44">
      <c r="A44" s="2" t="inlineStr">
        <is>
          <t>VAN différentielle réf − alt ($)</t>
        </is>
      </c>
      <c r="B44" s="4">
        <f>B43-B42</f>
        <v/>
      </c>
      <c r="C44" s="7" t="n">
        <v>23953.41</v>
      </c>
    </row>
    <row r="45">
      <c r="A45" s="2" t="inlineStr">
        <is>
          <t>km actualisés</t>
        </is>
      </c>
      <c r="B45" s="4">
        <f>SUM(T29:T39)</f>
        <v/>
      </c>
    </row>
    <row r="46">
      <c r="A46" s="2" t="inlineStr">
        <is>
          <t>TCO/km actualisé — alternative ($/km)</t>
        </is>
      </c>
      <c r="B46" s="4">
        <f>B42/B45</f>
        <v/>
      </c>
      <c r="C46" s="7" t="n">
        <v>0.4123</v>
      </c>
    </row>
    <row r="47">
      <c r="A47" s="2" t="inlineStr">
        <is>
          <t>TCO/km actualisé — référence ($/km)</t>
        </is>
      </c>
      <c r="B47" s="4">
        <f>B43/B45</f>
        <v/>
      </c>
    </row>
    <row r="48">
      <c r="A48" s="2" t="inlineStr">
        <is>
          <t>Délai de récupération simple (années)</t>
        </is>
      </c>
      <c r="B48" s="4">
        <f>IF(COUNT(U29:U39)=0,"null : jamais atteint sur l'horizon",MIN(U29:U39))</f>
        <v/>
      </c>
      <c r="C48" s="7" t="n">
        <v>4</v>
      </c>
    </row>
    <row r="49">
      <c r="A49" s="2" t="inlineStr">
        <is>
          <t>Délai de récupération actualisé (années)</t>
        </is>
      </c>
      <c r="B49" s="4">
        <f>IF(COUNT(V29:V39)=0,"null : jamais atteint sur l'horizon",MIN(V29:V39))</f>
        <v/>
      </c>
      <c r="C49" s="7" t="n">
        <v>4</v>
      </c>
    </row>
    <row r="50">
      <c r="A50" s="2" t="inlineStr">
        <is>
          <t>CO2e évité cumulé TTW (t)</t>
        </is>
      </c>
      <c r="B50" s="4">
        <f>SUM(W29:W39)</f>
        <v/>
      </c>
      <c r="C50" s="7" t="n">
        <v>61.673</v>
      </c>
    </row>
    <row r="51">
      <c r="A51" s="2" t="inlineStr">
        <is>
          <t>CO2e évité cumulé WTW (t)</t>
        </is>
      </c>
      <c r="B51" s="4">
        <f>SUM(X29:X39)-SUM(Y29:Y39)</f>
        <v/>
      </c>
      <c r="C51" s="7" t="n">
        <v>77.018</v>
      </c>
    </row>
    <row r="52">
      <c r="A52" s="2" t="inlineStr">
        <is>
          <t>Coût (+) ou gain (−) par tonne WTW évitée ($/t)</t>
        </is>
      </c>
      <c r="B52" s="4">
        <f>(B42-B43)/B51</f>
        <v/>
      </c>
      <c r="C52" s="7" t="n">
        <v>-311.01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Y52"/>
  <sheetViews>
    <sheetView workbookViewId="0">
      <selection activeCell="A1" sqref="A1"/>
    </sheetView>
  </sheetViews>
  <sheetFormatPr baseColWidth="8" defaultRowHeight="15"/>
  <cols>
    <col width="4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</cols>
  <sheetData>
    <row r="1">
      <c r="A1" s="1" t="inlineStr">
        <is>
          <t>Cas 5 — Camion lourd FCEV (H2 électrolyse)</t>
        </is>
      </c>
    </row>
    <row r="3">
      <c r="A3" s="2" t="inlineStr">
        <is>
          <t>Entrées du cas (constantes, depuis docs/tco-cas-de-reference.json)</t>
        </is>
      </c>
    </row>
    <row r="4">
      <c r="A4" t="inlineStr">
        <is>
          <t>Horizon H (années)</t>
        </is>
      </c>
      <c r="B4" s="3" t="n">
        <v>10</v>
      </c>
      <c r="C4" t="inlineStr">
        <is>
          <t>ans</t>
        </is>
      </c>
    </row>
    <row r="5">
      <c r="A5" t="inlineStr">
        <is>
          <t>Kilométrage annuel</t>
        </is>
      </c>
      <c r="B5" s="3" t="n">
        <v>60000</v>
      </c>
      <c r="C5" t="inlineStr">
        <is>
          <t>km/an</t>
        </is>
      </c>
    </row>
    <row r="6">
      <c r="A6" t="inlineStr">
        <is>
          <t>Prix réf (diesel) avant taxes</t>
        </is>
      </c>
      <c r="B6" s="3" t="n">
        <v>200000</v>
      </c>
      <c r="C6" t="inlineStr">
        <is>
          <t>$</t>
        </is>
      </c>
    </row>
    <row r="7">
      <c r="A7" t="inlineStr">
        <is>
          <t>Conso réf</t>
        </is>
      </c>
      <c r="B7" s="3" t="n">
        <v>36</v>
      </c>
      <c r="C7" t="inlineStr">
        <is>
          <t>L/100 km</t>
        </is>
      </c>
    </row>
    <row r="8">
      <c r="A8" t="inlineStr">
        <is>
          <t>Entretien réf</t>
        </is>
      </c>
      <c r="B8" s="3" t="n">
        <v>0.35</v>
      </c>
      <c r="C8" t="inlineStr">
        <is>
          <t>$/km</t>
        </is>
      </c>
    </row>
    <row r="9">
      <c r="A9" t="inlineStr">
        <is>
          <t>Prix alt avant taxes</t>
        </is>
      </c>
      <c r="B9" s="3" t="n">
        <v>720000</v>
      </c>
      <c r="C9" t="inlineStr">
        <is>
          <t>$</t>
        </is>
      </c>
    </row>
    <row r="10">
      <c r="A10" t="inlineStr">
        <is>
          <t>Conso alt (nominale tempérée)</t>
        </is>
      </c>
      <c r="B10" s="3" t="n">
        <v>8</v>
      </c>
      <c r="C10" t="inlineStr">
        <is>
          <t>kg H2/100 km</t>
        </is>
      </c>
    </row>
    <row r="11">
      <c r="A11" t="inlineStr">
        <is>
          <t>Entretien alt</t>
        </is>
      </c>
      <c r="B11" s="3" t="n">
        <v>0.32</v>
      </c>
      <c r="C11" t="inlineStr">
        <is>
          <t>$/km</t>
        </is>
      </c>
    </row>
    <row r="12">
      <c r="A12" t="inlineStr">
        <is>
          <t>Subvention (montant)</t>
        </is>
      </c>
      <c r="B12" s="3" t="n">
        <v>150000</v>
      </c>
      <c r="C12" t="inlineStr">
        <is>
          <t>$</t>
        </is>
      </c>
    </row>
    <row r="13">
      <c r="A13" t="inlineStr">
        <is>
          <t>Subvention (année de versement)</t>
        </is>
      </c>
      <c r="B13" s="3" t="n">
        <v>1</v>
      </c>
      <c r="C13" t="inlineStr">
        <is>
          <t>année</t>
        </is>
      </c>
    </row>
    <row r="14">
      <c r="A14" t="inlineStr">
        <is>
          <t>Infra — capex avant taxes</t>
        </is>
      </c>
      <c r="B14" s="3" t="n">
        <v>0</v>
      </c>
      <c r="C14" t="inlineStr">
        <is>
          <t>$</t>
        </is>
      </c>
    </row>
    <row r="15">
      <c r="A15" t="inlineStr">
        <is>
          <t>FE diesel TTW (choix catégorie)</t>
        </is>
      </c>
      <c r="B15" s="4">
        <f>fe_lourd</f>
        <v/>
      </c>
      <c r="C15" t="inlineStr">
        <is>
          <t>kg CO2e/L</t>
        </is>
      </c>
    </row>
    <row r="17">
      <c r="A17" s="2" t="inlineStr">
        <is>
          <t>Valeurs dérivées (formules)</t>
        </is>
      </c>
    </row>
    <row r="18">
      <c r="A18" t="inlineStr">
        <is>
          <t>Prix réf avec taxes non récupérables</t>
        </is>
      </c>
      <c r="B18" s="4">
        <f>$B$6*(1+taux_taxes)</f>
        <v/>
      </c>
    </row>
    <row r="19">
      <c r="A19" t="inlineStr">
        <is>
          <t>Prix alt avec taxes non récupérables</t>
        </is>
      </c>
      <c r="B19" s="4">
        <f>$B$9*(1+taux_taxes)</f>
        <v/>
      </c>
    </row>
    <row r="20">
      <c r="A20" t="inlineStr">
        <is>
          <t>Infra avec taxes non récupérables</t>
        </is>
      </c>
      <c r="B20" s="4">
        <f>$B$14*(1+taux_taxes)</f>
        <v/>
      </c>
    </row>
    <row r="21">
      <c r="A21" t="inlineStr">
        <is>
          <t>Conso alt facturée (compteur ou pompe) /100 km</t>
        </is>
      </c>
      <c r="B21" s="4">
        <f>$B$10*fact_hiver</f>
        <v/>
      </c>
    </row>
    <row r="22">
      <c r="A22" t="inlineStr">
        <is>
          <t>VR réf fin d'horizon (avant taxes, nominale, géométrique planchée)</t>
        </is>
      </c>
      <c r="B22" s="4">
        <f>MAX($B$6*(1-d_diesel)^$B$4,plancher_vr*$B$6)</f>
        <v/>
      </c>
    </row>
    <row r="23">
      <c r="A23" t="inlineStr">
        <is>
          <t>VR alt fin d'horizon (avant taxes, nominale, géométrique planchée)</t>
        </is>
      </c>
      <c r="B23" s="4">
        <f>MAX($B$9*(1-d_fcev)^$B$4,plancher_vr*$B$9)</f>
        <v/>
      </c>
    </row>
    <row r="24">
      <c r="A24" t="inlineStr">
        <is>
          <t>Année de ré-achat de l'infra (vide si aucun)</t>
        </is>
      </c>
      <c r="B24" s="4">
        <f>IF(AND($B$14&gt;0,$B$4&gt;duree_vie_infra),duree_vie_infra,"")</f>
        <v/>
      </c>
    </row>
    <row r="25">
      <c r="A25" t="inlineStr">
        <is>
          <t>VR infra fin d'horizon (linéaire, dernier équipement, capex indexé)</t>
        </is>
      </c>
      <c r="B25" s="4">
        <f>IF($B$14=0,0,IF($B$4&gt;duree_vie_infra,$B$14*(1+g_general)^duree_vie_infra*(duree_vie_infra-($B$4-duree_vie_infra))/duree_vie_infra,$B$14*(duree_vie_infra-$B$4)/duree_vie_infra))</f>
        <v/>
      </c>
    </row>
    <row r="28">
      <c r="A28" s="2" t="inlineStr">
        <is>
          <t>n</t>
        </is>
      </c>
      <c r="B28" s="2" t="inlineStr">
        <is>
          <t>Acquisition alt</t>
        </is>
      </c>
      <c r="C28" s="2" t="inlineStr">
        <is>
          <t>Subventions</t>
        </is>
      </c>
      <c r="D28" s="2" t="inlineStr">
        <is>
          <t>Énergie alt</t>
        </is>
      </c>
      <c r="E28" s="2" t="inlineStr">
        <is>
          <t>Entretien alt</t>
        </is>
      </c>
      <c r="F28" s="2" t="inlineStr">
        <is>
          <t>Opex infra</t>
        </is>
      </c>
      <c r="G28" s="2" t="inlineStr">
        <is>
          <t>Résiduels alt</t>
        </is>
      </c>
      <c r="H28" s="2" t="inlineStr">
        <is>
          <t>Flux net alt</t>
        </is>
      </c>
      <c r="I28" s="2" t="inlineStr">
        <is>
          <t>Acquisition réf</t>
        </is>
      </c>
      <c r="J28" s="2" t="inlineStr">
        <is>
          <t>Énergie réf</t>
        </is>
      </c>
      <c r="K28" s="2" t="inlineStr">
        <is>
          <t>Entretien réf</t>
        </is>
      </c>
      <c r="L28" s="2" t="inlineStr">
        <is>
          <t>Résiduels réf</t>
        </is>
      </c>
      <c r="M28" s="2" t="inlineStr">
        <is>
          <t>Flux net réf</t>
        </is>
      </c>
      <c r="N28" s="2" t="inlineStr">
        <is>
          <t>Économie nominale</t>
        </is>
      </c>
      <c r="O28" s="2" t="inlineStr">
        <is>
          <t>Facteur actualisation</t>
        </is>
      </c>
      <c r="P28" s="2" t="inlineStr">
        <is>
          <t>Flux act. alt</t>
        </is>
      </c>
      <c r="Q28" s="2" t="inlineStr">
        <is>
          <t>Flux act. réf</t>
        </is>
      </c>
      <c r="R28" s="2" t="inlineStr">
        <is>
          <t>Cumul économie nominale</t>
        </is>
      </c>
      <c r="S28" s="2" t="inlineStr">
        <is>
          <t>Cumul économie actualisée</t>
        </is>
      </c>
      <c r="T28" s="2" t="inlineStr">
        <is>
          <t>km actualisés</t>
        </is>
      </c>
      <c r="U28" s="2" t="inlineStr">
        <is>
          <t>n si cumul nominal &gt;= 0</t>
        </is>
      </c>
      <c r="V28" s="2" t="inlineStr">
        <is>
          <t>n si cumul actualisé &gt;= 0</t>
        </is>
      </c>
      <c r="W28" s="2" t="inlineStr">
        <is>
          <t>TTW réf (t)</t>
        </is>
      </c>
      <c r="X28" s="2" t="inlineStr">
        <is>
          <t>WTW réf (t)</t>
        </is>
      </c>
      <c r="Y28" s="2" t="inlineStr">
        <is>
          <t>WTW alt (t)</t>
        </is>
      </c>
    </row>
    <row r="29">
      <c r="A29" t="n">
        <v>0</v>
      </c>
      <c r="B29" s="5">
        <f>IF(A29=0,$B$19+$B$20,IF(A29=$B$24,$B$14*(1+g_general)^A29*(1+taux_taxes),0))</f>
        <v/>
      </c>
      <c r="C29" s="5">
        <f>IF(A29=$B$13,$B$12,0)</f>
        <v/>
      </c>
      <c r="D29" s="5">
        <f>IF(A29=0,0,$B$5*$B$21/100*prix_h2*(1+g_h2)^A29*(1+taux_taxes))</f>
        <v/>
      </c>
      <c r="E29" s="5">
        <f>IF(A29=0,0,$B$5*$B$11*(1+g_entretien)^A29*(1+taux_taxes))</f>
        <v/>
      </c>
      <c r="F29" s="5">
        <f>IF(A29=0,0,infra_entretien_pct*$B$14*(1+g_entretien)^A29*(1+taux_taxes))</f>
        <v/>
      </c>
      <c r="G29" s="5">
        <f>IF(A29=$B$4,$B$23+$B$25,0)</f>
        <v/>
      </c>
      <c r="H29" s="5">
        <f>B29-C29+D29+E29+F29-G29</f>
        <v/>
      </c>
      <c r="I29" s="5">
        <f>IF(A29=0,$B$18,0)</f>
        <v/>
      </c>
      <c r="J29" s="5">
        <f>IF(A29=0,0,$B$5*$B$7/100*prix_diesel*(1+g_diesel)^A29*(1+taux_taxes))</f>
        <v/>
      </c>
      <c r="K29" s="5">
        <f>IF(A29=0,0,$B$5*$B$8*(1+g_entretien)^A29*(1+taux_taxes))</f>
        <v/>
      </c>
      <c r="L29" s="5">
        <f>IF(A29=$B$4,$B$22,0)</f>
        <v/>
      </c>
      <c r="M29" s="5">
        <f>I29+J29+K29-L29</f>
        <v/>
      </c>
      <c r="N29" s="5">
        <f>M29-H29</f>
        <v/>
      </c>
      <c r="O29" s="5">
        <f>1/(1+taux_r)^A29</f>
        <v/>
      </c>
      <c r="P29" s="5">
        <f>H29*O29</f>
        <v/>
      </c>
      <c r="Q29" s="5">
        <f>M29*O29</f>
        <v/>
      </c>
      <c r="R29" s="5">
        <f>N29</f>
        <v/>
      </c>
      <c r="S29" s="5">
        <f>N29*O29</f>
        <v/>
      </c>
      <c r="T29" s="5">
        <f>IF(A29=0,0,$B$5*O29)</f>
        <v/>
      </c>
      <c r="U29" s="6">
        <f>IF(R29&gt;=0,A29,"")</f>
        <v/>
      </c>
      <c r="V29" s="6">
        <f>IF(S29&gt;=0,A29,"")</f>
        <v/>
      </c>
      <c r="W29" s="6">
        <f>IF(A29=0,0,$B$5*$B$7/100*$B$15/1000)</f>
        <v/>
      </c>
      <c r="X29" s="6">
        <f>W29*ratio_wtw</f>
        <v/>
      </c>
      <c r="Y29" s="6">
        <f>IF(A29=0,0,$B$5*$B$21/100*fe_h2/1000)</f>
        <v/>
      </c>
    </row>
    <row r="30">
      <c r="A30">
        <f>A29+1</f>
        <v/>
      </c>
      <c r="B30" s="5">
        <f>IF(A30=0,$B$19+$B$20,IF(A30=$B$24,$B$14*(1+g_general)^A30*(1+taux_taxes),0))</f>
        <v/>
      </c>
      <c r="C30" s="5">
        <f>IF(A30=$B$13,$B$12,0)</f>
        <v/>
      </c>
      <c r="D30" s="5">
        <f>IF(A30=0,0,$B$5*$B$21/100*prix_h2*(1+g_h2)^A30*(1+taux_taxes))</f>
        <v/>
      </c>
      <c r="E30" s="5">
        <f>IF(A30=0,0,$B$5*$B$11*(1+g_entretien)^A30*(1+taux_taxes))</f>
        <v/>
      </c>
      <c r="F30" s="5">
        <f>IF(A30=0,0,infra_entretien_pct*$B$14*(1+g_entretien)^A30*(1+taux_taxes))</f>
        <v/>
      </c>
      <c r="G30" s="5">
        <f>IF(A30=$B$4,$B$23+$B$25,0)</f>
        <v/>
      </c>
      <c r="H30" s="5">
        <f>B30-C30+D30+E30+F30-G30</f>
        <v/>
      </c>
      <c r="I30" s="5">
        <f>IF(A30=0,$B$18,0)</f>
        <v/>
      </c>
      <c r="J30" s="5">
        <f>IF(A30=0,0,$B$5*$B$7/100*prix_diesel*(1+g_diesel)^A30*(1+taux_taxes))</f>
        <v/>
      </c>
      <c r="K30" s="5">
        <f>IF(A30=0,0,$B$5*$B$8*(1+g_entretien)^A30*(1+taux_taxes))</f>
        <v/>
      </c>
      <c r="L30" s="5">
        <f>IF(A30=$B$4,$B$22,0)</f>
        <v/>
      </c>
      <c r="M30" s="5">
        <f>I30+J30+K30-L30</f>
        <v/>
      </c>
      <c r="N30" s="5">
        <f>M30-H30</f>
        <v/>
      </c>
      <c r="O30" s="5">
        <f>1/(1+taux_r)^A30</f>
        <v/>
      </c>
      <c r="P30" s="5">
        <f>H30*O30</f>
        <v/>
      </c>
      <c r="Q30" s="5">
        <f>M30*O30</f>
        <v/>
      </c>
      <c r="R30" s="5">
        <f>R29+N30</f>
        <v/>
      </c>
      <c r="S30" s="5">
        <f>S29+N30*O30</f>
        <v/>
      </c>
      <c r="T30" s="5">
        <f>IF(A30=0,0,$B$5*O30)</f>
        <v/>
      </c>
      <c r="U30" s="6">
        <f>IF(R30&gt;=0,A30,"")</f>
        <v/>
      </c>
      <c r="V30" s="6">
        <f>IF(S30&gt;=0,A30,"")</f>
        <v/>
      </c>
      <c r="W30" s="6">
        <f>IF(A30=0,0,$B$5*$B$7/100*$B$15/1000)</f>
        <v/>
      </c>
      <c r="X30" s="6">
        <f>W30*ratio_wtw</f>
        <v/>
      </c>
      <c r="Y30" s="6">
        <f>IF(A30=0,0,$B$5*$B$21/100*fe_h2/1000)</f>
        <v/>
      </c>
    </row>
    <row r="31">
      <c r="A31">
        <f>A30+1</f>
        <v/>
      </c>
      <c r="B31" s="5">
        <f>IF(A31=0,$B$19+$B$20,IF(A31=$B$24,$B$14*(1+g_general)^A31*(1+taux_taxes),0))</f>
        <v/>
      </c>
      <c r="C31" s="5">
        <f>IF(A31=$B$13,$B$12,0)</f>
        <v/>
      </c>
      <c r="D31" s="5">
        <f>IF(A31=0,0,$B$5*$B$21/100*prix_h2*(1+g_h2)^A31*(1+taux_taxes))</f>
        <v/>
      </c>
      <c r="E31" s="5">
        <f>IF(A31=0,0,$B$5*$B$11*(1+g_entretien)^A31*(1+taux_taxes))</f>
        <v/>
      </c>
      <c r="F31" s="5">
        <f>IF(A31=0,0,infra_entretien_pct*$B$14*(1+g_entretien)^A31*(1+taux_taxes))</f>
        <v/>
      </c>
      <c r="G31" s="5">
        <f>IF(A31=$B$4,$B$23+$B$25,0)</f>
        <v/>
      </c>
      <c r="H31" s="5">
        <f>B31-C31+D31+E31+F31-G31</f>
        <v/>
      </c>
      <c r="I31" s="5">
        <f>IF(A31=0,$B$18,0)</f>
        <v/>
      </c>
      <c r="J31" s="5">
        <f>IF(A31=0,0,$B$5*$B$7/100*prix_diesel*(1+g_diesel)^A31*(1+taux_taxes))</f>
        <v/>
      </c>
      <c r="K31" s="5">
        <f>IF(A31=0,0,$B$5*$B$8*(1+g_entretien)^A31*(1+taux_taxes))</f>
        <v/>
      </c>
      <c r="L31" s="5">
        <f>IF(A31=$B$4,$B$22,0)</f>
        <v/>
      </c>
      <c r="M31" s="5">
        <f>I31+J31+K31-L31</f>
        <v/>
      </c>
      <c r="N31" s="5">
        <f>M31-H31</f>
        <v/>
      </c>
      <c r="O31" s="5">
        <f>1/(1+taux_r)^A31</f>
        <v/>
      </c>
      <c r="P31" s="5">
        <f>H31*O31</f>
        <v/>
      </c>
      <c r="Q31" s="5">
        <f>M31*O31</f>
        <v/>
      </c>
      <c r="R31" s="5">
        <f>R30+N31</f>
        <v/>
      </c>
      <c r="S31" s="5">
        <f>S30+N31*O31</f>
        <v/>
      </c>
      <c r="T31" s="5">
        <f>IF(A31=0,0,$B$5*O31)</f>
        <v/>
      </c>
      <c r="U31" s="6">
        <f>IF(R31&gt;=0,A31,"")</f>
        <v/>
      </c>
      <c r="V31" s="6">
        <f>IF(S31&gt;=0,A31,"")</f>
        <v/>
      </c>
      <c r="W31" s="6">
        <f>IF(A31=0,0,$B$5*$B$7/100*$B$15/1000)</f>
        <v/>
      </c>
      <c r="X31" s="6">
        <f>W31*ratio_wtw</f>
        <v/>
      </c>
      <c r="Y31" s="6">
        <f>IF(A31=0,0,$B$5*$B$21/100*fe_h2/1000)</f>
        <v/>
      </c>
    </row>
    <row r="32">
      <c r="A32">
        <f>A31+1</f>
        <v/>
      </c>
      <c r="B32" s="5">
        <f>IF(A32=0,$B$19+$B$20,IF(A32=$B$24,$B$14*(1+g_general)^A32*(1+taux_taxes),0))</f>
        <v/>
      </c>
      <c r="C32" s="5">
        <f>IF(A32=$B$13,$B$12,0)</f>
        <v/>
      </c>
      <c r="D32" s="5">
        <f>IF(A32=0,0,$B$5*$B$21/100*prix_h2*(1+g_h2)^A32*(1+taux_taxes))</f>
        <v/>
      </c>
      <c r="E32" s="5">
        <f>IF(A32=0,0,$B$5*$B$11*(1+g_entretien)^A32*(1+taux_taxes))</f>
        <v/>
      </c>
      <c r="F32" s="5">
        <f>IF(A32=0,0,infra_entretien_pct*$B$14*(1+g_entretien)^A32*(1+taux_taxes))</f>
        <v/>
      </c>
      <c r="G32" s="5">
        <f>IF(A32=$B$4,$B$23+$B$25,0)</f>
        <v/>
      </c>
      <c r="H32" s="5">
        <f>B32-C32+D32+E32+F32-G32</f>
        <v/>
      </c>
      <c r="I32" s="5">
        <f>IF(A32=0,$B$18,0)</f>
        <v/>
      </c>
      <c r="J32" s="5">
        <f>IF(A32=0,0,$B$5*$B$7/100*prix_diesel*(1+g_diesel)^A32*(1+taux_taxes))</f>
        <v/>
      </c>
      <c r="K32" s="5">
        <f>IF(A32=0,0,$B$5*$B$8*(1+g_entretien)^A32*(1+taux_taxes))</f>
        <v/>
      </c>
      <c r="L32" s="5">
        <f>IF(A32=$B$4,$B$22,0)</f>
        <v/>
      </c>
      <c r="M32" s="5">
        <f>I32+J32+K32-L32</f>
        <v/>
      </c>
      <c r="N32" s="5">
        <f>M32-H32</f>
        <v/>
      </c>
      <c r="O32" s="5">
        <f>1/(1+taux_r)^A32</f>
        <v/>
      </c>
      <c r="P32" s="5">
        <f>H32*O32</f>
        <v/>
      </c>
      <c r="Q32" s="5">
        <f>M32*O32</f>
        <v/>
      </c>
      <c r="R32" s="5">
        <f>R31+N32</f>
        <v/>
      </c>
      <c r="S32" s="5">
        <f>S31+N32*O32</f>
        <v/>
      </c>
      <c r="T32" s="5">
        <f>IF(A32=0,0,$B$5*O32)</f>
        <v/>
      </c>
      <c r="U32" s="6">
        <f>IF(R32&gt;=0,A32,"")</f>
        <v/>
      </c>
      <c r="V32" s="6">
        <f>IF(S32&gt;=0,A32,"")</f>
        <v/>
      </c>
      <c r="W32" s="6">
        <f>IF(A32=0,0,$B$5*$B$7/100*$B$15/1000)</f>
        <v/>
      </c>
      <c r="X32" s="6">
        <f>W32*ratio_wtw</f>
        <v/>
      </c>
      <c r="Y32" s="6">
        <f>IF(A32=0,0,$B$5*$B$21/100*fe_h2/1000)</f>
        <v/>
      </c>
    </row>
    <row r="33">
      <c r="A33">
        <f>A32+1</f>
        <v/>
      </c>
      <c r="B33" s="5">
        <f>IF(A33=0,$B$19+$B$20,IF(A33=$B$24,$B$14*(1+g_general)^A33*(1+taux_taxes),0))</f>
        <v/>
      </c>
      <c r="C33" s="5">
        <f>IF(A33=$B$13,$B$12,0)</f>
        <v/>
      </c>
      <c r="D33" s="5">
        <f>IF(A33=0,0,$B$5*$B$21/100*prix_h2*(1+g_h2)^A33*(1+taux_taxes))</f>
        <v/>
      </c>
      <c r="E33" s="5">
        <f>IF(A33=0,0,$B$5*$B$11*(1+g_entretien)^A33*(1+taux_taxes))</f>
        <v/>
      </c>
      <c r="F33" s="5">
        <f>IF(A33=0,0,infra_entretien_pct*$B$14*(1+g_entretien)^A33*(1+taux_taxes))</f>
        <v/>
      </c>
      <c r="G33" s="5">
        <f>IF(A33=$B$4,$B$23+$B$25,0)</f>
        <v/>
      </c>
      <c r="H33" s="5">
        <f>B33-C33+D33+E33+F33-G33</f>
        <v/>
      </c>
      <c r="I33" s="5">
        <f>IF(A33=0,$B$18,0)</f>
        <v/>
      </c>
      <c r="J33" s="5">
        <f>IF(A33=0,0,$B$5*$B$7/100*prix_diesel*(1+g_diesel)^A33*(1+taux_taxes))</f>
        <v/>
      </c>
      <c r="K33" s="5">
        <f>IF(A33=0,0,$B$5*$B$8*(1+g_entretien)^A33*(1+taux_taxes))</f>
        <v/>
      </c>
      <c r="L33" s="5">
        <f>IF(A33=$B$4,$B$22,0)</f>
        <v/>
      </c>
      <c r="M33" s="5">
        <f>I33+J33+K33-L33</f>
        <v/>
      </c>
      <c r="N33" s="5">
        <f>M33-H33</f>
        <v/>
      </c>
      <c r="O33" s="5">
        <f>1/(1+taux_r)^A33</f>
        <v/>
      </c>
      <c r="P33" s="5">
        <f>H33*O33</f>
        <v/>
      </c>
      <c r="Q33" s="5">
        <f>M33*O33</f>
        <v/>
      </c>
      <c r="R33" s="5">
        <f>R32+N33</f>
        <v/>
      </c>
      <c r="S33" s="5">
        <f>S32+N33*O33</f>
        <v/>
      </c>
      <c r="T33" s="5">
        <f>IF(A33=0,0,$B$5*O33)</f>
        <v/>
      </c>
      <c r="U33" s="6">
        <f>IF(R33&gt;=0,A33,"")</f>
        <v/>
      </c>
      <c r="V33" s="6">
        <f>IF(S33&gt;=0,A33,"")</f>
        <v/>
      </c>
      <c r="W33" s="6">
        <f>IF(A33=0,0,$B$5*$B$7/100*$B$15/1000)</f>
        <v/>
      </c>
      <c r="X33" s="6">
        <f>W33*ratio_wtw</f>
        <v/>
      </c>
      <c r="Y33" s="6">
        <f>IF(A33=0,0,$B$5*$B$21/100*fe_h2/1000)</f>
        <v/>
      </c>
    </row>
    <row r="34">
      <c r="A34">
        <f>A33+1</f>
        <v/>
      </c>
      <c r="B34" s="5">
        <f>IF(A34=0,$B$19+$B$20,IF(A34=$B$24,$B$14*(1+g_general)^A34*(1+taux_taxes),0))</f>
        <v/>
      </c>
      <c r="C34" s="5">
        <f>IF(A34=$B$13,$B$12,0)</f>
        <v/>
      </c>
      <c r="D34" s="5">
        <f>IF(A34=0,0,$B$5*$B$21/100*prix_h2*(1+g_h2)^A34*(1+taux_taxes))</f>
        <v/>
      </c>
      <c r="E34" s="5">
        <f>IF(A34=0,0,$B$5*$B$11*(1+g_entretien)^A34*(1+taux_taxes))</f>
        <v/>
      </c>
      <c r="F34" s="5">
        <f>IF(A34=0,0,infra_entretien_pct*$B$14*(1+g_entretien)^A34*(1+taux_taxes))</f>
        <v/>
      </c>
      <c r="G34" s="5">
        <f>IF(A34=$B$4,$B$23+$B$25,0)</f>
        <v/>
      </c>
      <c r="H34" s="5">
        <f>B34-C34+D34+E34+F34-G34</f>
        <v/>
      </c>
      <c r="I34" s="5">
        <f>IF(A34=0,$B$18,0)</f>
        <v/>
      </c>
      <c r="J34" s="5">
        <f>IF(A34=0,0,$B$5*$B$7/100*prix_diesel*(1+g_diesel)^A34*(1+taux_taxes))</f>
        <v/>
      </c>
      <c r="K34" s="5">
        <f>IF(A34=0,0,$B$5*$B$8*(1+g_entretien)^A34*(1+taux_taxes))</f>
        <v/>
      </c>
      <c r="L34" s="5">
        <f>IF(A34=$B$4,$B$22,0)</f>
        <v/>
      </c>
      <c r="M34" s="5">
        <f>I34+J34+K34-L34</f>
        <v/>
      </c>
      <c r="N34" s="5">
        <f>M34-H34</f>
        <v/>
      </c>
      <c r="O34" s="5">
        <f>1/(1+taux_r)^A34</f>
        <v/>
      </c>
      <c r="P34" s="5">
        <f>H34*O34</f>
        <v/>
      </c>
      <c r="Q34" s="5">
        <f>M34*O34</f>
        <v/>
      </c>
      <c r="R34" s="5">
        <f>R33+N34</f>
        <v/>
      </c>
      <c r="S34" s="5">
        <f>S33+N34*O34</f>
        <v/>
      </c>
      <c r="T34" s="5">
        <f>IF(A34=0,0,$B$5*O34)</f>
        <v/>
      </c>
      <c r="U34" s="6">
        <f>IF(R34&gt;=0,A34,"")</f>
        <v/>
      </c>
      <c r="V34" s="6">
        <f>IF(S34&gt;=0,A34,"")</f>
        <v/>
      </c>
      <c r="W34" s="6">
        <f>IF(A34=0,0,$B$5*$B$7/100*$B$15/1000)</f>
        <v/>
      </c>
      <c r="X34" s="6">
        <f>W34*ratio_wtw</f>
        <v/>
      </c>
      <c r="Y34" s="6">
        <f>IF(A34=0,0,$B$5*$B$21/100*fe_h2/1000)</f>
        <v/>
      </c>
    </row>
    <row r="35">
      <c r="A35">
        <f>A34+1</f>
        <v/>
      </c>
      <c r="B35" s="5">
        <f>IF(A35=0,$B$19+$B$20,IF(A35=$B$24,$B$14*(1+g_general)^A35*(1+taux_taxes),0))</f>
        <v/>
      </c>
      <c r="C35" s="5">
        <f>IF(A35=$B$13,$B$12,0)</f>
        <v/>
      </c>
      <c r="D35" s="5">
        <f>IF(A35=0,0,$B$5*$B$21/100*prix_h2*(1+g_h2)^A35*(1+taux_taxes))</f>
        <v/>
      </c>
      <c r="E35" s="5">
        <f>IF(A35=0,0,$B$5*$B$11*(1+g_entretien)^A35*(1+taux_taxes))</f>
        <v/>
      </c>
      <c r="F35" s="5">
        <f>IF(A35=0,0,infra_entretien_pct*$B$14*(1+g_entretien)^A35*(1+taux_taxes))</f>
        <v/>
      </c>
      <c r="G35" s="5">
        <f>IF(A35=$B$4,$B$23+$B$25,0)</f>
        <v/>
      </c>
      <c r="H35" s="5">
        <f>B35-C35+D35+E35+F35-G35</f>
        <v/>
      </c>
      <c r="I35" s="5">
        <f>IF(A35=0,$B$18,0)</f>
        <v/>
      </c>
      <c r="J35" s="5">
        <f>IF(A35=0,0,$B$5*$B$7/100*prix_diesel*(1+g_diesel)^A35*(1+taux_taxes))</f>
        <v/>
      </c>
      <c r="K35" s="5">
        <f>IF(A35=0,0,$B$5*$B$8*(1+g_entretien)^A35*(1+taux_taxes))</f>
        <v/>
      </c>
      <c r="L35" s="5">
        <f>IF(A35=$B$4,$B$22,0)</f>
        <v/>
      </c>
      <c r="M35" s="5">
        <f>I35+J35+K35-L35</f>
        <v/>
      </c>
      <c r="N35" s="5">
        <f>M35-H35</f>
        <v/>
      </c>
      <c r="O35" s="5">
        <f>1/(1+taux_r)^A35</f>
        <v/>
      </c>
      <c r="P35" s="5">
        <f>H35*O35</f>
        <v/>
      </c>
      <c r="Q35" s="5">
        <f>M35*O35</f>
        <v/>
      </c>
      <c r="R35" s="5">
        <f>R34+N35</f>
        <v/>
      </c>
      <c r="S35" s="5">
        <f>S34+N35*O35</f>
        <v/>
      </c>
      <c r="T35" s="5">
        <f>IF(A35=0,0,$B$5*O35)</f>
        <v/>
      </c>
      <c r="U35" s="6">
        <f>IF(R35&gt;=0,A35,"")</f>
        <v/>
      </c>
      <c r="V35" s="6">
        <f>IF(S35&gt;=0,A35,"")</f>
        <v/>
      </c>
      <c r="W35" s="6">
        <f>IF(A35=0,0,$B$5*$B$7/100*$B$15/1000)</f>
        <v/>
      </c>
      <c r="X35" s="6">
        <f>W35*ratio_wtw</f>
        <v/>
      </c>
      <c r="Y35" s="6">
        <f>IF(A35=0,0,$B$5*$B$21/100*fe_h2/1000)</f>
        <v/>
      </c>
    </row>
    <row r="36">
      <c r="A36">
        <f>A35+1</f>
        <v/>
      </c>
      <c r="B36" s="5">
        <f>IF(A36=0,$B$19+$B$20,IF(A36=$B$24,$B$14*(1+g_general)^A36*(1+taux_taxes),0))</f>
        <v/>
      </c>
      <c r="C36" s="5">
        <f>IF(A36=$B$13,$B$12,0)</f>
        <v/>
      </c>
      <c r="D36" s="5">
        <f>IF(A36=0,0,$B$5*$B$21/100*prix_h2*(1+g_h2)^A36*(1+taux_taxes))</f>
        <v/>
      </c>
      <c r="E36" s="5">
        <f>IF(A36=0,0,$B$5*$B$11*(1+g_entretien)^A36*(1+taux_taxes))</f>
        <v/>
      </c>
      <c r="F36" s="5">
        <f>IF(A36=0,0,infra_entretien_pct*$B$14*(1+g_entretien)^A36*(1+taux_taxes))</f>
        <v/>
      </c>
      <c r="G36" s="5">
        <f>IF(A36=$B$4,$B$23+$B$25,0)</f>
        <v/>
      </c>
      <c r="H36" s="5">
        <f>B36-C36+D36+E36+F36-G36</f>
        <v/>
      </c>
      <c r="I36" s="5">
        <f>IF(A36=0,$B$18,0)</f>
        <v/>
      </c>
      <c r="J36" s="5">
        <f>IF(A36=0,0,$B$5*$B$7/100*prix_diesel*(1+g_diesel)^A36*(1+taux_taxes))</f>
        <v/>
      </c>
      <c r="K36" s="5">
        <f>IF(A36=0,0,$B$5*$B$8*(1+g_entretien)^A36*(1+taux_taxes))</f>
        <v/>
      </c>
      <c r="L36" s="5">
        <f>IF(A36=$B$4,$B$22,0)</f>
        <v/>
      </c>
      <c r="M36" s="5">
        <f>I36+J36+K36-L36</f>
        <v/>
      </c>
      <c r="N36" s="5">
        <f>M36-H36</f>
        <v/>
      </c>
      <c r="O36" s="5">
        <f>1/(1+taux_r)^A36</f>
        <v/>
      </c>
      <c r="P36" s="5">
        <f>H36*O36</f>
        <v/>
      </c>
      <c r="Q36" s="5">
        <f>M36*O36</f>
        <v/>
      </c>
      <c r="R36" s="5">
        <f>R35+N36</f>
        <v/>
      </c>
      <c r="S36" s="5">
        <f>S35+N36*O36</f>
        <v/>
      </c>
      <c r="T36" s="5">
        <f>IF(A36=0,0,$B$5*O36)</f>
        <v/>
      </c>
      <c r="U36" s="6">
        <f>IF(R36&gt;=0,A36,"")</f>
        <v/>
      </c>
      <c r="V36" s="6">
        <f>IF(S36&gt;=0,A36,"")</f>
        <v/>
      </c>
      <c r="W36" s="6">
        <f>IF(A36=0,0,$B$5*$B$7/100*$B$15/1000)</f>
        <v/>
      </c>
      <c r="X36" s="6">
        <f>W36*ratio_wtw</f>
        <v/>
      </c>
      <c r="Y36" s="6">
        <f>IF(A36=0,0,$B$5*$B$21/100*fe_h2/1000)</f>
        <v/>
      </c>
    </row>
    <row r="37">
      <c r="A37">
        <f>A36+1</f>
        <v/>
      </c>
      <c r="B37" s="5">
        <f>IF(A37=0,$B$19+$B$20,IF(A37=$B$24,$B$14*(1+g_general)^A37*(1+taux_taxes),0))</f>
        <v/>
      </c>
      <c r="C37" s="5">
        <f>IF(A37=$B$13,$B$12,0)</f>
        <v/>
      </c>
      <c r="D37" s="5">
        <f>IF(A37=0,0,$B$5*$B$21/100*prix_h2*(1+g_h2)^A37*(1+taux_taxes))</f>
        <v/>
      </c>
      <c r="E37" s="5">
        <f>IF(A37=0,0,$B$5*$B$11*(1+g_entretien)^A37*(1+taux_taxes))</f>
        <v/>
      </c>
      <c r="F37" s="5">
        <f>IF(A37=0,0,infra_entretien_pct*$B$14*(1+g_entretien)^A37*(1+taux_taxes))</f>
        <v/>
      </c>
      <c r="G37" s="5">
        <f>IF(A37=$B$4,$B$23+$B$25,0)</f>
        <v/>
      </c>
      <c r="H37" s="5">
        <f>B37-C37+D37+E37+F37-G37</f>
        <v/>
      </c>
      <c r="I37" s="5">
        <f>IF(A37=0,$B$18,0)</f>
        <v/>
      </c>
      <c r="J37" s="5">
        <f>IF(A37=0,0,$B$5*$B$7/100*prix_diesel*(1+g_diesel)^A37*(1+taux_taxes))</f>
        <v/>
      </c>
      <c r="K37" s="5">
        <f>IF(A37=0,0,$B$5*$B$8*(1+g_entretien)^A37*(1+taux_taxes))</f>
        <v/>
      </c>
      <c r="L37" s="5">
        <f>IF(A37=$B$4,$B$22,0)</f>
        <v/>
      </c>
      <c r="M37" s="5">
        <f>I37+J37+K37-L37</f>
        <v/>
      </c>
      <c r="N37" s="5">
        <f>M37-H37</f>
        <v/>
      </c>
      <c r="O37" s="5">
        <f>1/(1+taux_r)^A37</f>
        <v/>
      </c>
      <c r="P37" s="5">
        <f>H37*O37</f>
        <v/>
      </c>
      <c r="Q37" s="5">
        <f>M37*O37</f>
        <v/>
      </c>
      <c r="R37" s="5">
        <f>R36+N37</f>
        <v/>
      </c>
      <c r="S37" s="5">
        <f>S36+N37*O37</f>
        <v/>
      </c>
      <c r="T37" s="5">
        <f>IF(A37=0,0,$B$5*O37)</f>
        <v/>
      </c>
      <c r="U37" s="6">
        <f>IF(R37&gt;=0,A37,"")</f>
        <v/>
      </c>
      <c r="V37" s="6">
        <f>IF(S37&gt;=0,A37,"")</f>
        <v/>
      </c>
      <c r="W37" s="6">
        <f>IF(A37=0,0,$B$5*$B$7/100*$B$15/1000)</f>
        <v/>
      </c>
      <c r="X37" s="6">
        <f>W37*ratio_wtw</f>
        <v/>
      </c>
      <c r="Y37" s="6">
        <f>IF(A37=0,0,$B$5*$B$21/100*fe_h2/1000)</f>
        <v/>
      </c>
    </row>
    <row r="38">
      <c r="A38">
        <f>A37+1</f>
        <v/>
      </c>
      <c r="B38" s="5">
        <f>IF(A38=0,$B$19+$B$20,IF(A38=$B$24,$B$14*(1+g_general)^A38*(1+taux_taxes),0))</f>
        <v/>
      </c>
      <c r="C38" s="5">
        <f>IF(A38=$B$13,$B$12,0)</f>
        <v/>
      </c>
      <c r="D38" s="5">
        <f>IF(A38=0,0,$B$5*$B$21/100*prix_h2*(1+g_h2)^A38*(1+taux_taxes))</f>
        <v/>
      </c>
      <c r="E38" s="5">
        <f>IF(A38=0,0,$B$5*$B$11*(1+g_entretien)^A38*(1+taux_taxes))</f>
        <v/>
      </c>
      <c r="F38" s="5">
        <f>IF(A38=0,0,infra_entretien_pct*$B$14*(1+g_entretien)^A38*(1+taux_taxes))</f>
        <v/>
      </c>
      <c r="G38" s="5">
        <f>IF(A38=$B$4,$B$23+$B$25,0)</f>
        <v/>
      </c>
      <c r="H38" s="5">
        <f>B38-C38+D38+E38+F38-G38</f>
        <v/>
      </c>
      <c r="I38" s="5">
        <f>IF(A38=0,$B$18,0)</f>
        <v/>
      </c>
      <c r="J38" s="5">
        <f>IF(A38=0,0,$B$5*$B$7/100*prix_diesel*(1+g_diesel)^A38*(1+taux_taxes))</f>
        <v/>
      </c>
      <c r="K38" s="5">
        <f>IF(A38=0,0,$B$5*$B$8*(1+g_entretien)^A38*(1+taux_taxes))</f>
        <v/>
      </c>
      <c r="L38" s="5">
        <f>IF(A38=$B$4,$B$22,0)</f>
        <v/>
      </c>
      <c r="M38" s="5">
        <f>I38+J38+K38-L38</f>
        <v/>
      </c>
      <c r="N38" s="5">
        <f>M38-H38</f>
        <v/>
      </c>
      <c r="O38" s="5">
        <f>1/(1+taux_r)^A38</f>
        <v/>
      </c>
      <c r="P38" s="5">
        <f>H38*O38</f>
        <v/>
      </c>
      <c r="Q38" s="5">
        <f>M38*O38</f>
        <v/>
      </c>
      <c r="R38" s="5">
        <f>R37+N38</f>
        <v/>
      </c>
      <c r="S38" s="5">
        <f>S37+N38*O38</f>
        <v/>
      </c>
      <c r="T38" s="5">
        <f>IF(A38=0,0,$B$5*O38)</f>
        <v/>
      </c>
      <c r="U38" s="6">
        <f>IF(R38&gt;=0,A38,"")</f>
        <v/>
      </c>
      <c r="V38" s="6">
        <f>IF(S38&gt;=0,A38,"")</f>
        <v/>
      </c>
      <c r="W38" s="6">
        <f>IF(A38=0,0,$B$5*$B$7/100*$B$15/1000)</f>
        <v/>
      </c>
      <c r="X38" s="6">
        <f>W38*ratio_wtw</f>
        <v/>
      </c>
      <c r="Y38" s="6">
        <f>IF(A38=0,0,$B$5*$B$21/100*fe_h2/1000)</f>
        <v/>
      </c>
    </row>
    <row r="39">
      <c r="A39">
        <f>A38+1</f>
        <v/>
      </c>
      <c r="B39" s="5">
        <f>IF(A39=0,$B$19+$B$20,IF(A39=$B$24,$B$14*(1+g_general)^A39*(1+taux_taxes),0))</f>
        <v/>
      </c>
      <c r="C39" s="5">
        <f>IF(A39=$B$13,$B$12,0)</f>
        <v/>
      </c>
      <c r="D39" s="5">
        <f>IF(A39=0,0,$B$5*$B$21/100*prix_h2*(1+g_h2)^A39*(1+taux_taxes))</f>
        <v/>
      </c>
      <c r="E39" s="5">
        <f>IF(A39=0,0,$B$5*$B$11*(1+g_entretien)^A39*(1+taux_taxes))</f>
        <v/>
      </c>
      <c r="F39" s="5">
        <f>IF(A39=0,0,infra_entretien_pct*$B$14*(1+g_entretien)^A39*(1+taux_taxes))</f>
        <v/>
      </c>
      <c r="G39" s="5">
        <f>IF(A39=$B$4,$B$23+$B$25,0)</f>
        <v/>
      </c>
      <c r="H39" s="5">
        <f>B39-C39+D39+E39+F39-G39</f>
        <v/>
      </c>
      <c r="I39" s="5">
        <f>IF(A39=0,$B$18,0)</f>
        <v/>
      </c>
      <c r="J39" s="5">
        <f>IF(A39=0,0,$B$5*$B$7/100*prix_diesel*(1+g_diesel)^A39*(1+taux_taxes))</f>
        <v/>
      </c>
      <c r="K39" s="5">
        <f>IF(A39=0,0,$B$5*$B$8*(1+g_entretien)^A39*(1+taux_taxes))</f>
        <v/>
      </c>
      <c r="L39" s="5">
        <f>IF(A39=$B$4,$B$22,0)</f>
        <v/>
      </c>
      <c r="M39" s="5">
        <f>I39+J39+K39-L39</f>
        <v/>
      </c>
      <c r="N39" s="5">
        <f>M39-H39</f>
        <v/>
      </c>
      <c r="O39" s="5">
        <f>1/(1+taux_r)^A39</f>
        <v/>
      </c>
      <c r="P39" s="5">
        <f>H39*O39</f>
        <v/>
      </c>
      <c r="Q39" s="5">
        <f>M39*O39</f>
        <v/>
      </c>
      <c r="R39" s="5">
        <f>R38+N39</f>
        <v/>
      </c>
      <c r="S39" s="5">
        <f>S38+N39*O39</f>
        <v/>
      </c>
      <c r="T39" s="5">
        <f>IF(A39=0,0,$B$5*O39)</f>
        <v/>
      </c>
      <c r="U39" s="6">
        <f>IF(R39&gt;=0,A39,"")</f>
        <v/>
      </c>
      <c r="V39" s="6">
        <f>IF(S39&gt;=0,A39,"")</f>
        <v/>
      </c>
      <c r="W39" s="6">
        <f>IF(A39=0,0,$B$5*$B$7/100*$B$15/1000)</f>
        <v/>
      </c>
      <c r="X39" s="6">
        <f>W39*ratio_wtw</f>
        <v/>
      </c>
      <c r="Y39" s="6">
        <f>IF(A39=0,0,$B$5*$B$21/100*fe_h2/1000)</f>
        <v/>
      </c>
    </row>
    <row r="41">
      <c r="A41" s="2" t="inlineStr">
        <is>
          <t>Résultats (formules)</t>
        </is>
      </c>
      <c r="C41" s="2" t="inlineStr">
        <is>
          <t>Attendu (contre-calcul indépendant, JSON) — comparaison seulement</t>
        </is>
      </c>
    </row>
    <row r="42">
      <c r="A42" s="2" t="inlineStr">
        <is>
          <t>TCO actualisé — alternative ($)</t>
        </is>
      </c>
      <c r="B42" s="4">
        <f>SUM(P29:P39)</f>
        <v/>
      </c>
      <c r="C42" s="7" t="n">
        <v>1437602.59</v>
      </c>
    </row>
    <row r="43">
      <c r="A43" s="2" t="inlineStr">
        <is>
          <t>TCO actualisé — référence ($)</t>
        </is>
      </c>
      <c r="B43" s="4">
        <f>SUM(Q29:Q39)</f>
        <v/>
      </c>
      <c r="C43" s="7" t="n">
        <v>750810.49</v>
      </c>
    </row>
    <row r="44">
      <c r="A44" s="2" t="inlineStr">
        <is>
          <t>VAN différentielle réf − alt ($)</t>
        </is>
      </c>
      <c r="B44" s="4">
        <f>B43-B42</f>
        <v/>
      </c>
      <c r="C44" s="7" t="n">
        <v>-686792.1</v>
      </c>
    </row>
    <row r="45">
      <c r="A45" s="2" t="inlineStr">
        <is>
          <t>km actualisés</t>
        </is>
      </c>
      <c r="B45" s="4">
        <f>SUM(T29:T39)</f>
        <v/>
      </c>
    </row>
    <row r="46">
      <c r="A46" s="2" t="inlineStr">
        <is>
          <t>TCO/km actualisé — alternative ($/km)</t>
        </is>
      </c>
      <c r="B46" s="4">
        <f>B42/B45</f>
        <v/>
      </c>
      <c r="C46" s="7" t="n">
        <v>3.1029</v>
      </c>
    </row>
    <row r="47">
      <c r="A47" s="2" t="inlineStr">
        <is>
          <t>TCO/km actualisé — référence ($/km)</t>
        </is>
      </c>
      <c r="B47" s="4">
        <f>B43/B45</f>
        <v/>
      </c>
    </row>
    <row r="48">
      <c r="A48" s="2" t="inlineStr">
        <is>
          <t>Délai de récupération simple (années)</t>
        </is>
      </c>
      <c r="B48" s="4">
        <f>IF(COUNT(U29:U39)=0,"null : jamais atteint sur l'horizon",MIN(U29:U39))</f>
        <v/>
      </c>
      <c r="C48" s="7" t="inlineStr">
        <is>
          <t>null</t>
        </is>
      </c>
    </row>
    <row r="49">
      <c r="A49" s="2" t="inlineStr">
        <is>
          <t>Délai de récupération actualisé (années)</t>
        </is>
      </c>
      <c r="B49" s="4">
        <f>IF(COUNT(V29:V39)=0,"null : jamais atteint sur l'horizon",MIN(V29:V39))</f>
        <v/>
      </c>
      <c r="C49" s="7" t="inlineStr">
        <is>
          <t>null</t>
        </is>
      </c>
    </row>
    <row r="50">
      <c r="A50" s="2" t="inlineStr">
        <is>
          <t>CO2e évité cumulé TTW (t)</t>
        </is>
      </c>
      <c r="B50" s="4">
        <f>SUM(W29:W39)</f>
        <v/>
      </c>
      <c r="C50" s="7" t="n">
        <v>588.384</v>
      </c>
    </row>
    <row r="51">
      <c r="A51" s="2" t="inlineStr">
        <is>
          <t>CO2e évité cumulé WTW (t)</t>
        </is>
      </c>
      <c r="B51" s="4">
        <f>SUM(X29:X39)-SUM(Y29:Y39)</f>
        <v/>
      </c>
      <c r="C51" s="7" t="n">
        <v>683.52</v>
      </c>
    </row>
    <row r="52">
      <c r="A52" s="2" t="inlineStr">
        <is>
          <t>Coût (+) ou gain (−) par tonne WTW évitée ($/t)</t>
        </is>
      </c>
      <c r="B52" s="4">
        <f>(B42-B43)/B51</f>
        <v/>
      </c>
      <c r="C52" s="7" t="n">
        <v>1004.79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Y87"/>
  <sheetViews>
    <sheetView workbookViewId="0">
      <selection activeCell="A1" sqref="A1"/>
    </sheetView>
  </sheetViews>
  <sheetFormatPr baseColWidth="8" defaultRowHeight="15"/>
  <cols>
    <col width="4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</cols>
  <sheetData>
    <row r="1">
      <c r="A1" s="1" t="inlineStr">
        <is>
          <t>Cas 6 — Mini-plan 5 véhicules (horizon 12 ans, infra partagée, re-remplacement)</t>
        </is>
      </c>
    </row>
    <row r="3">
      <c r="A3" s="2" t="inlineStr">
        <is>
          <t>Entrées du cas (constantes, depuis docs/tco-cas-de-reference.json)</t>
        </is>
      </c>
    </row>
    <row r="4">
      <c r="A4" t="inlineStr">
        <is>
          <t>Horizon H</t>
        </is>
      </c>
      <c r="B4" s="3" t="n">
        <v>12</v>
      </c>
      <c r="C4" t="inlineStr">
        <is>
          <t>ans</t>
        </is>
      </c>
    </row>
    <row r="5">
      <c r="A5" s="2" t="inlineStr">
        <is>
          <t>Véhicules légers BEV (x2)</t>
        </is>
      </c>
    </row>
    <row r="6">
      <c r="A6" t="inlineStr">
        <is>
          <t>Nombre</t>
        </is>
      </c>
      <c r="B6" s="3" t="n">
        <v>2</v>
      </c>
    </row>
    <row r="7">
      <c r="A7" t="inlineStr">
        <is>
          <t>km/an (par véhicule)</t>
        </is>
      </c>
      <c r="B7" s="3" t="n">
        <v>25000</v>
      </c>
    </row>
    <row r="8">
      <c r="A8" t="inlineStr">
        <is>
          <t>Prix réf avant taxes</t>
        </is>
      </c>
      <c r="B8" s="3" t="n">
        <v>45000</v>
      </c>
      <c r="C8" t="inlineStr">
        <is>
          <t>$</t>
        </is>
      </c>
    </row>
    <row r="9">
      <c r="A9" t="inlineStr">
        <is>
          <t>Conso réf</t>
        </is>
      </c>
      <c r="B9" s="3" t="n">
        <v>9</v>
      </c>
      <c r="C9" t="inlineStr">
        <is>
          <t>L/100 km</t>
        </is>
      </c>
    </row>
    <row r="10">
      <c r="A10" t="inlineStr">
        <is>
          <t>Entretien réf</t>
        </is>
      </c>
      <c r="B10" s="3" t="n">
        <v>0.1</v>
      </c>
      <c r="C10" t="inlineStr">
        <is>
          <t>$/km</t>
        </is>
      </c>
    </row>
    <row r="11">
      <c r="A11" t="inlineStr">
        <is>
          <t>Prix alt avant taxes</t>
        </is>
      </c>
      <c r="B11" s="3" t="n">
        <v>49500</v>
      </c>
      <c r="C11" t="inlineStr">
        <is>
          <t>$</t>
        </is>
      </c>
    </row>
    <row r="12">
      <c r="A12" t="inlineStr">
        <is>
          <t>Conso alt</t>
        </is>
      </c>
      <c r="B12" s="3" t="n">
        <v>20</v>
      </c>
      <c r="C12" t="inlineStr">
        <is>
          <t>kWh/100 km</t>
        </is>
      </c>
    </row>
    <row r="13">
      <c r="A13" t="inlineStr">
        <is>
          <t>Entretien alt</t>
        </is>
      </c>
      <c r="B13" s="3" t="n">
        <v>0.07000000000000001</v>
      </c>
      <c r="C13" t="inlineStr">
        <is>
          <t>$/km</t>
        </is>
      </c>
    </row>
    <row r="14">
      <c r="A14" t="inlineStr">
        <is>
          <t>Subventions an 0 par véhicule</t>
        </is>
      </c>
      <c r="B14" s="3" t="n">
        <v>7000</v>
      </c>
      <c r="C14" t="inlineStr">
        <is>
          <t>$</t>
        </is>
      </c>
    </row>
    <row r="15">
      <c r="A15" t="inlineStr">
        <is>
          <t>Année de re-remplacement (fin de vie)</t>
        </is>
      </c>
      <c r="B15" s="3" t="n">
        <v>10</v>
      </c>
    </row>
    <row r="17">
      <c r="A17" s="2" t="inlineStr">
        <is>
          <t>Camionnette BEV</t>
        </is>
      </c>
    </row>
    <row r="18">
      <c r="A18" t="inlineStr">
        <is>
          <t>km/an</t>
        </is>
      </c>
      <c r="B18" s="3" t="n">
        <v>30000</v>
      </c>
    </row>
    <row r="19">
      <c r="A19" t="inlineStr">
        <is>
          <t>Prix réf avant taxes</t>
        </is>
      </c>
      <c r="B19" s="3" t="n">
        <v>68000</v>
      </c>
      <c r="C19" t="inlineStr">
        <is>
          <t>$</t>
        </is>
      </c>
    </row>
    <row r="20">
      <c r="A20" t="inlineStr">
        <is>
          <t>Conso réf</t>
        </is>
      </c>
      <c r="B20" s="3" t="n">
        <v>15</v>
      </c>
      <c r="C20" t="inlineStr">
        <is>
          <t>L/100 km</t>
        </is>
      </c>
    </row>
    <row r="21">
      <c r="A21" t="inlineStr">
        <is>
          <t>Entretien réf</t>
        </is>
      </c>
      <c r="B21" s="3" t="n">
        <v>0.14</v>
      </c>
      <c r="C21" t="inlineStr">
        <is>
          <t>$/km</t>
        </is>
      </c>
    </row>
    <row r="22">
      <c r="A22" t="inlineStr">
        <is>
          <t>Prix alt avant taxes</t>
        </is>
      </c>
      <c r="B22" s="3" t="n">
        <v>95000</v>
      </c>
      <c r="C22" t="inlineStr">
        <is>
          <t>$</t>
        </is>
      </c>
    </row>
    <row r="23">
      <c r="A23" t="inlineStr">
        <is>
          <t>Conso alt</t>
        </is>
      </c>
      <c r="B23" s="3" t="n">
        <v>32</v>
      </c>
      <c r="C23" t="inlineStr">
        <is>
          <t>kWh/100 km</t>
        </is>
      </c>
    </row>
    <row r="24">
      <c r="A24" t="inlineStr">
        <is>
          <t>Entretien alt</t>
        </is>
      </c>
      <c r="B24" s="3" t="n">
        <v>0.1</v>
      </c>
      <c r="C24" t="inlineStr">
        <is>
          <t>$/km</t>
        </is>
      </c>
    </row>
    <row r="25">
      <c r="A25" t="inlineStr">
        <is>
          <t>Subvention (Écocamionnage 2b)</t>
        </is>
      </c>
      <c r="B25" s="3" t="n">
        <v>2500</v>
      </c>
      <c r="C25" t="inlineStr">
        <is>
          <t>$</t>
        </is>
      </c>
    </row>
    <row r="26">
      <c r="A26" t="inlineStr">
        <is>
          <t>Année de versement</t>
        </is>
      </c>
      <c r="B26" s="3" t="n">
        <v>1</v>
      </c>
    </row>
    <row r="28">
      <c r="A28" s="2" t="inlineStr">
        <is>
          <t>Camions moyens BEV (x2)</t>
        </is>
      </c>
    </row>
    <row r="29">
      <c r="A29" t="inlineStr">
        <is>
          <t>Nombre</t>
        </is>
      </c>
      <c r="B29" s="3" t="n">
        <v>2</v>
      </c>
    </row>
    <row r="30">
      <c r="A30" t="inlineStr">
        <is>
          <t>km/an (par véhicule)</t>
        </is>
      </c>
      <c r="B30" s="3" t="n">
        <v>35000</v>
      </c>
    </row>
    <row r="31">
      <c r="A31" t="inlineStr">
        <is>
          <t>Prix réf avant taxes</t>
        </is>
      </c>
      <c r="B31" s="3" t="n">
        <v>140000</v>
      </c>
      <c r="C31" t="inlineStr">
        <is>
          <t>$</t>
        </is>
      </c>
    </row>
    <row r="32">
      <c r="A32" t="inlineStr">
        <is>
          <t>Conso réf</t>
        </is>
      </c>
      <c r="B32" s="3" t="n">
        <v>26</v>
      </c>
      <c r="C32" t="inlineStr">
        <is>
          <t>L/100 km</t>
        </is>
      </c>
    </row>
    <row r="33">
      <c r="A33" t="inlineStr">
        <is>
          <t>Entretien réf</t>
        </is>
      </c>
      <c r="B33" s="3" t="n">
        <v>0.25</v>
      </c>
      <c r="C33" t="inlineStr">
        <is>
          <t>$/km</t>
        </is>
      </c>
    </row>
    <row r="34">
      <c r="A34" t="inlineStr">
        <is>
          <t>Prix alt avant taxes</t>
        </is>
      </c>
      <c r="B34" s="3" t="n">
        <v>300000</v>
      </c>
      <c r="C34" t="inlineStr">
        <is>
          <t>$</t>
        </is>
      </c>
    </row>
    <row r="35">
      <c r="A35" t="inlineStr">
        <is>
          <t>Conso alt</t>
        </is>
      </c>
      <c r="B35" s="3" t="n">
        <v>62</v>
      </c>
      <c r="C35" t="inlineStr">
        <is>
          <t>kWh/100 km</t>
        </is>
      </c>
    </row>
    <row r="36">
      <c r="A36" t="inlineStr">
        <is>
          <t>Entretien alt</t>
        </is>
      </c>
      <c r="B36" s="3" t="n">
        <v>0.18</v>
      </c>
      <c r="C36" t="inlineStr">
        <is>
          <t>$/km</t>
        </is>
      </c>
    </row>
    <row r="37">
      <c r="A37" t="inlineStr">
        <is>
          <t>Subvention par véhicule</t>
        </is>
      </c>
      <c r="B37" s="3" t="n">
        <v>75000</v>
      </c>
      <c r="C37" t="inlineStr">
        <is>
          <t>$</t>
        </is>
      </c>
    </row>
    <row r="38">
      <c r="A38" t="inlineStr">
        <is>
          <t>Année de versement</t>
        </is>
      </c>
      <c r="B38" s="3" t="n">
        <v>1</v>
      </c>
    </row>
    <row r="40">
      <c r="A40" s="2" t="inlineStr">
        <is>
          <t>Infrastructure partagée (mise en service an 0)</t>
        </is>
      </c>
    </row>
    <row r="41">
      <c r="A41" t="inlineStr">
        <is>
          <t>Capex infra avant taxes</t>
        </is>
      </c>
      <c r="B41" s="3" t="n">
        <v>135000</v>
      </c>
      <c r="C41" t="inlineStr">
        <is>
          <t>$</t>
        </is>
      </c>
    </row>
    <row r="43">
      <c r="A43" s="2" t="inlineStr">
        <is>
          <t>Valeurs dérivées (formules)</t>
        </is>
      </c>
    </row>
    <row r="44">
      <c r="A44" t="inlineStr">
        <is>
          <t>kWh compteur/an — 1 véhicule léger</t>
        </is>
      </c>
      <c r="B44" s="4">
        <f>$B$7*$B$12/100*fact_hiver/rendement</f>
        <v/>
      </c>
    </row>
    <row r="45">
      <c r="A45" t="inlineStr">
        <is>
          <t>kWh compteur/an — camionnette</t>
        </is>
      </c>
      <c r="B45" s="4">
        <f>$B$18*$B$23/100*fact_hiver/rendement</f>
        <v/>
      </c>
    </row>
    <row r="46">
      <c r="A46" t="inlineStr">
        <is>
          <t>kWh compteur/an — 1 camion moyen</t>
        </is>
      </c>
      <c r="B46" s="4">
        <f>$B$30*$B$35/100*fact_hiver/rendement</f>
        <v/>
      </c>
    </row>
    <row r="47">
      <c r="A47" t="inlineStr">
        <is>
          <t>kWh compteur/an — total site (année 1)</t>
        </is>
      </c>
      <c r="B47" s="4">
        <f>$B$6*B44+B45+$B$29*B46</f>
        <v/>
      </c>
    </row>
    <row r="48">
      <c r="A48" t="inlineStr">
        <is>
          <t>Prix rachat VL alt an 10 (avant taxes, inflation générale)</t>
        </is>
      </c>
      <c r="B48" s="4">
        <f>$B$11*(1+g_general)^$B$15</f>
        <v/>
      </c>
    </row>
    <row r="49">
      <c r="A49" t="inlineStr">
        <is>
          <t>Prix rachat VL réf an 10 (avant taxes)</t>
        </is>
      </c>
      <c r="B49" s="4">
        <f>$B$8*(1+g_general)^$B$15</f>
        <v/>
      </c>
    </row>
    <row r="50">
      <c r="A50" t="inlineStr">
        <is>
          <t>VR an 10 — VL alt ancien (géométrique planchée, âge 10)</t>
        </is>
      </c>
      <c r="B50" s="4">
        <f>MAX((1-d_bev)^$B$15,plancher_vr)*$B$11</f>
        <v/>
      </c>
    </row>
    <row r="51">
      <c r="A51" t="inlineStr">
        <is>
          <t>VR an 10 — VL réf ancien (géométrique planchée, âge 10)</t>
        </is>
      </c>
      <c r="B51" s="4">
        <f>MAX((1-d_diesel)^$B$15,plancher_vr)*$B$8</f>
        <v/>
      </c>
    </row>
    <row r="52">
      <c r="A52" t="inlineStr">
        <is>
          <t>VR fin 12 — VL alt nouveau (2 ans de possession)</t>
        </is>
      </c>
      <c r="B52" s="4">
        <f>MAX(B48*(1-d_bev)^($B$4-$B$15),plancher_vr*B48)</f>
        <v/>
      </c>
    </row>
    <row r="53">
      <c r="A53" t="inlineStr">
        <is>
          <t>VR fin 12 — VL réf nouveau</t>
        </is>
      </c>
      <c r="B53" s="4">
        <f>MAX(B49*(1-d_diesel)^($B$4-$B$15),plancher_vr*B49)</f>
        <v/>
      </c>
    </row>
    <row r="54">
      <c r="A54" t="inlineStr">
        <is>
          <t>VR fin 12 — camionnette alt</t>
        </is>
      </c>
      <c r="B54" s="4">
        <f>MAX($B$22*(1-d_bev)^$B$4,plancher_vr*$B$22)</f>
        <v/>
      </c>
    </row>
    <row r="55">
      <c r="A55" t="inlineStr">
        <is>
          <t>VR fin 12 — camionnette réf</t>
        </is>
      </c>
      <c r="B55" s="4">
        <f>MAX($B$19*(1-d_diesel)^$B$4,plancher_vr*$B$19)</f>
        <v/>
      </c>
    </row>
    <row r="56">
      <c r="A56" t="inlineStr">
        <is>
          <t>VR fin 12 — 1 camion moyen alt</t>
        </is>
      </c>
      <c r="B56" s="4">
        <f>MAX($B$34*(1-d_bev)^$B$4,plancher_vr*$B$34)</f>
        <v/>
      </c>
    </row>
    <row r="57">
      <c r="A57" t="inlineStr">
        <is>
          <t>VR fin 12 — 1 camion moyen réf</t>
        </is>
      </c>
      <c r="B57" s="4">
        <f>MAX($B$31*(1-d_diesel)^$B$4,plancher_vr*$B$31)</f>
        <v/>
      </c>
    </row>
    <row r="58">
      <c r="A58" t="inlineStr">
        <is>
          <t>VR fin 12 — infrastructure (linéaire, âge 12 sur 15)</t>
        </is>
      </c>
      <c r="B58" s="4">
        <f>$B$41*(duree_vie_infra-$B$4)/duree_vie_infra</f>
        <v/>
      </c>
    </row>
    <row r="61">
      <c r="A61" s="2" t="inlineStr">
        <is>
          <t>n</t>
        </is>
      </c>
      <c r="B61" s="2" t="inlineStr">
        <is>
          <t>Acquisition alt</t>
        </is>
      </c>
      <c r="C61" s="2" t="inlineStr">
        <is>
          <t>Subventions</t>
        </is>
      </c>
      <c r="D61" s="2" t="inlineStr">
        <is>
          <t>Énergie alt</t>
        </is>
      </c>
      <c r="E61" s="2" t="inlineStr">
        <is>
          <t>Entretien alt</t>
        </is>
      </c>
      <c r="F61" s="2" t="inlineStr">
        <is>
          <t>Opex infra</t>
        </is>
      </c>
      <c r="G61" s="2" t="inlineStr">
        <is>
          <t>Résiduels alt</t>
        </is>
      </c>
      <c r="H61" s="2" t="inlineStr">
        <is>
          <t>Flux net alt</t>
        </is>
      </c>
      <c r="I61" s="2" t="inlineStr">
        <is>
          <t>Acquisition réf</t>
        </is>
      </c>
      <c r="J61" s="2" t="inlineStr">
        <is>
          <t>Énergie réf</t>
        </is>
      </c>
      <c r="K61" s="2" t="inlineStr">
        <is>
          <t>Entretien réf</t>
        </is>
      </c>
      <c r="L61" s="2" t="inlineStr">
        <is>
          <t>Résiduels réf</t>
        </is>
      </c>
      <c r="M61" s="2" t="inlineStr">
        <is>
          <t>Flux net réf</t>
        </is>
      </c>
      <c r="N61" s="2" t="inlineStr">
        <is>
          <t>Économie nominale</t>
        </is>
      </c>
      <c r="O61" s="2" t="inlineStr">
        <is>
          <t>Facteur actualisation</t>
        </is>
      </c>
      <c r="P61" s="2" t="inlineStr">
        <is>
          <t>Flux act. alt</t>
        </is>
      </c>
      <c r="Q61" s="2" t="inlineStr">
        <is>
          <t>Flux act. réf</t>
        </is>
      </c>
      <c r="R61" s="2" t="inlineStr">
        <is>
          <t>Cumul économie nominale</t>
        </is>
      </c>
      <c r="S61" s="2" t="inlineStr">
        <is>
          <t>Cumul économie actualisée</t>
        </is>
      </c>
      <c r="T61" s="2" t="inlineStr">
        <is>
          <t>km actualisés</t>
        </is>
      </c>
      <c r="U61" s="2" t="inlineStr">
        <is>
          <t>n si cumul nominal &gt;= 0</t>
        </is>
      </c>
      <c r="V61" s="2" t="inlineStr">
        <is>
          <t>n si cumul actualisé &gt;= 0</t>
        </is>
      </c>
      <c r="W61" s="2" t="inlineStr">
        <is>
          <t>TTW réf (t)</t>
        </is>
      </c>
      <c r="X61" s="2" t="inlineStr">
        <is>
          <t>WTW réf (t)</t>
        </is>
      </c>
      <c r="Y61" s="2" t="inlineStr">
        <is>
          <t>WTW alt (t)</t>
        </is>
      </c>
    </row>
    <row r="62">
      <c r="A62" t="n">
        <v>0</v>
      </c>
      <c r="B62" s="5">
        <f>IF(A62=0,($B$6*$B$11+$B$22+$B$29*$B$34+$B$41)*(1+taux_taxes),IF(A62=$B$15,$B$6*$B$48*(1+taux_taxes),0))</f>
        <v/>
      </c>
      <c r="C62" s="5">
        <f>IF(A62=0,$B$6*$B$14,IF(A62=1,$B$25+$B$29*$B$37,0))</f>
        <v/>
      </c>
      <c r="D62" s="5">
        <f>IF(A62=0,0,$B$47*prix_elec*(1+g_elec)^A62*(1+taux_taxes))</f>
        <v/>
      </c>
      <c r="E62" s="5">
        <f>IF(A62=0,0,($B$6*$B$7*$B$13+$B$18*$B$24+$B$29*$B$30*$B$36)*(1+g_entretien)^A62*(1+taux_taxes))</f>
        <v/>
      </c>
      <c r="F62" s="5">
        <f>IF(A62=0,0,infra_entretien_pct*$B$41*(1+g_entretien)^A62*(1+taux_taxes))</f>
        <v/>
      </c>
      <c r="G62" s="5">
        <f>IF(A62=$B$15,$B$6*$B$50,IF(A62=$B$4,$B$6*$B$52+$B$54+$B$29*$B$56+$B$58,0))</f>
        <v/>
      </c>
      <c r="H62" s="5">
        <f>B62-C62+D62+E62+F62-G62</f>
        <v/>
      </c>
      <c r="I62" s="5">
        <f>IF(A62=0,($B$6*$B$8+$B$19+$B$29*$B$31)*(1+taux_taxes),IF(A62=$B$15,$B$6*$B$49*(1+taux_taxes),0))</f>
        <v/>
      </c>
      <c r="J62" s="5">
        <f>IF(A62=0,0,($B$6*$B$7*$B$9+$B$18*$B$20+$B$29*$B$30*$B$32)/100*prix_diesel*(1+g_diesel)^A62*(1+taux_taxes))</f>
        <v/>
      </c>
      <c r="K62" s="5">
        <f>IF(A62=0,0,($B$6*$B$7*$B$10+$B$18*$B$21+$B$29*$B$30*$B$33)*(1+g_entretien)^A62*(1+taux_taxes))</f>
        <v/>
      </c>
      <c r="L62" s="5">
        <f>IF(A62=$B$15,$B$6*$B$51,IF(A62=$B$4,$B$6*$B$53+$B$55+$B$29*$B$57,0))</f>
        <v/>
      </c>
      <c r="M62" s="5">
        <f>I62+J62+K62-L62</f>
        <v/>
      </c>
      <c r="N62" s="5">
        <f>M62-H62</f>
        <v/>
      </c>
      <c r="O62" s="5">
        <f>1/(1+taux_r)^A62</f>
        <v/>
      </c>
      <c r="P62" s="5">
        <f>H62*O62</f>
        <v/>
      </c>
      <c r="Q62" s="5">
        <f>M62*O62</f>
        <v/>
      </c>
      <c r="R62" s="5">
        <f>N62</f>
        <v/>
      </c>
      <c r="S62" s="5">
        <f>N62*O62</f>
        <v/>
      </c>
      <c r="T62" s="5">
        <f>IF(A62=0,0,($B$6*$B$7+$B$18+$B$29*$B$30)*O62)</f>
        <v/>
      </c>
      <c r="U62" s="6">
        <f>IF(R62&gt;=0,A62,"")</f>
        <v/>
      </c>
      <c r="V62" s="6">
        <f>IF(S62&gt;=0,A62,"")</f>
        <v/>
      </c>
      <c r="W62" s="6">
        <f>IF(A62=0,0,(($B$6*$B$7*$B$9+$B$18*$B$20)*fe_leger+$B$29*$B$30*$B$32*fe_lourd)/100/1000)</f>
        <v/>
      </c>
      <c r="X62" s="6">
        <f>W62*ratio_wtw</f>
        <v/>
      </c>
      <c r="Y62" s="6">
        <f>IF(A62=0,0,$B$47*fe_elec/1000000)</f>
        <v/>
      </c>
    </row>
    <row r="63">
      <c r="A63">
        <f>A62+1</f>
        <v/>
      </c>
      <c r="B63" s="5">
        <f>IF(A63=0,($B$6*$B$11+$B$22+$B$29*$B$34+$B$41)*(1+taux_taxes),IF(A63=$B$15,$B$6*$B$48*(1+taux_taxes),0))</f>
        <v/>
      </c>
      <c r="C63" s="5">
        <f>IF(A63=0,$B$6*$B$14,IF(A63=1,$B$25+$B$29*$B$37,0))</f>
        <v/>
      </c>
      <c r="D63" s="5">
        <f>IF(A63=0,0,$B$47*prix_elec*(1+g_elec)^A63*(1+taux_taxes))</f>
        <v/>
      </c>
      <c r="E63" s="5">
        <f>IF(A63=0,0,($B$6*$B$7*$B$13+$B$18*$B$24+$B$29*$B$30*$B$36)*(1+g_entretien)^A63*(1+taux_taxes))</f>
        <v/>
      </c>
      <c r="F63" s="5">
        <f>IF(A63=0,0,infra_entretien_pct*$B$41*(1+g_entretien)^A63*(1+taux_taxes))</f>
        <v/>
      </c>
      <c r="G63" s="5">
        <f>IF(A63=$B$15,$B$6*$B$50,IF(A63=$B$4,$B$6*$B$52+$B$54+$B$29*$B$56+$B$58,0))</f>
        <v/>
      </c>
      <c r="H63" s="5">
        <f>B63-C63+D63+E63+F63-G63</f>
        <v/>
      </c>
      <c r="I63" s="5">
        <f>IF(A63=0,($B$6*$B$8+$B$19+$B$29*$B$31)*(1+taux_taxes),IF(A63=$B$15,$B$6*$B$49*(1+taux_taxes),0))</f>
        <v/>
      </c>
      <c r="J63" s="5">
        <f>IF(A63=0,0,($B$6*$B$7*$B$9+$B$18*$B$20+$B$29*$B$30*$B$32)/100*prix_diesel*(1+g_diesel)^A63*(1+taux_taxes))</f>
        <v/>
      </c>
      <c r="K63" s="5">
        <f>IF(A63=0,0,($B$6*$B$7*$B$10+$B$18*$B$21+$B$29*$B$30*$B$33)*(1+g_entretien)^A63*(1+taux_taxes))</f>
        <v/>
      </c>
      <c r="L63" s="5">
        <f>IF(A63=$B$15,$B$6*$B$51,IF(A63=$B$4,$B$6*$B$53+$B$55+$B$29*$B$57,0))</f>
        <v/>
      </c>
      <c r="M63" s="5">
        <f>I63+J63+K63-L63</f>
        <v/>
      </c>
      <c r="N63" s="5">
        <f>M63-H63</f>
        <v/>
      </c>
      <c r="O63" s="5">
        <f>1/(1+taux_r)^A63</f>
        <v/>
      </c>
      <c r="P63" s="5">
        <f>H63*O63</f>
        <v/>
      </c>
      <c r="Q63" s="5">
        <f>M63*O63</f>
        <v/>
      </c>
      <c r="R63" s="5">
        <f>R62+N63</f>
        <v/>
      </c>
      <c r="S63" s="5">
        <f>S62+N63*O63</f>
        <v/>
      </c>
      <c r="T63" s="5">
        <f>IF(A63=0,0,($B$6*$B$7+$B$18+$B$29*$B$30)*O63)</f>
        <v/>
      </c>
      <c r="U63" s="6">
        <f>IF(R63&gt;=0,A63,"")</f>
        <v/>
      </c>
      <c r="V63" s="6">
        <f>IF(S63&gt;=0,A63,"")</f>
        <v/>
      </c>
      <c r="W63" s="6">
        <f>IF(A63=0,0,(($B$6*$B$7*$B$9+$B$18*$B$20)*fe_leger+$B$29*$B$30*$B$32*fe_lourd)/100/1000)</f>
        <v/>
      </c>
      <c r="X63" s="6">
        <f>W63*ratio_wtw</f>
        <v/>
      </c>
      <c r="Y63" s="6">
        <f>IF(A63=0,0,$B$47*fe_elec/1000000)</f>
        <v/>
      </c>
    </row>
    <row r="64">
      <c r="A64">
        <f>A63+1</f>
        <v/>
      </c>
      <c r="B64" s="5">
        <f>IF(A64=0,($B$6*$B$11+$B$22+$B$29*$B$34+$B$41)*(1+taux_taxes),IF(A64=$B$15,$B$6*$B$48*(1+taux_taxes),0))</f>
        <v/>
      </c>
      <c r="C64" s="5">
        <f>IF(A64=0,$B$6*$B$14,IF(A64=1,$B$25+$B$29*$B$37,0))</f>
        <v/>
      </c>
      <c r="D64" s="5">
        <f>IF(A64=0,0,$B$47*prix_elec*(1+g_elec)^A64*(1+taux_taxes))</f>
        <v/>
      </c>
      <c r="E64" s="5">
        <f>IF(A64=0,0,($B$6*$B$7*$B$13+$B$18*$B$24+$B$29*$B$30*$B$36)*(1+g_entretien)^A64*(1+taux_taxes))</f>
        <v/>
      </c>
      <c r="F64" s="5">
        <f>IF(A64=0,0,infra_entretien_pct*$B$41*(1+g_entretien)^A64*(1+taux_taxes))</f>
        <v/>
      </c>
      <c r="G64" s="5">
        <f>IF(A64=$B$15,$B$6*$B$50,IF(A64=$B$4,$B$6*$B$52+$B$54+$B$29*$B$56+$B$58,0))</f>
        <v/>
      </c>
      <c r="H64" s="5">
        <f>B64-C64+D64+E64+F64-G64</f>
        <v/>
      </c>
      <c r="I64" s="5">
        <f>IF(A64=0,($B$6*$B$8+$B$19+$B$29*$B$31)*(1+taux_taxes),IF(A64=$B$15,$B$6*$B$49*(1+taux_taxes),0))</f>
        <v/>
      </c>
      <c r="J64" s="5">
        <f>IF(A64=0,0,($B$6*$B$7*$B$9+$B$18*$B$20+$B$29*$B$30*$B$32)/100*prix_diesel*(1+g_diesel)^A64*(1+taux_taxes))</f>
        <v/>
      </c>
      <c r="K64" s="5">
        <f>IF(A64=0,0,($B$6*$B$7*$B$10+$B$18*$B$21+$B$29*$B$30*$B$33)*(1+g_entretien)^A64*(1+taux_taxes))</f>
        <v/>
      </c>
      <c r="L64" s="5">
        <f>IF(A64=$B$15,$B$6*$B$51,IF(A64=$B$4,$B$6*$B$53+$B$55+$B$29*$B$57,0))</f>
        <v/>
      </c>
      <c r="M64" s="5">
        <f>I64+J64+K64-L64</f>
        <v/>
      </c>
      <c r="N64" s="5">
        <f>M64-H64</f>
        <v/>
      </c>
      <c r="O64" s="5">
        <f>1/(1+taux_r)^A64</f>
        <v/>
      </c>
      <c r="P64" s="5">
        <f>H64*O64</f>
        <v/>
      </c>
      <c r="Q64" s="5">
        <f>M64*O64</f>
        <v/>
      </c>
      <c r="R64" s="5">
        <f>R63+N64</f>
        <v/>
      </c>
      <c r="S64" s="5">
        <f>S63+N64*O64</f>
        <v/>
      </c>
      <c r="T64" s="5">
        <f>IF(A64=0,0,($B$6*$B$7+$B$18+$B$29*$B$30)*O64)</f>
        <v/>
      </c>
      <c r="U64" s="6">
        <f>IF(R64&gt;=0,A64,"")</f>
        <v/>
      </c>
      <c r="V64" s="6">
        <f>IF(S64&gt;=0,A64,"")</f>
        <v/>
      </c>
      <c r="W64" s="6">
        <f>IF(A64=0,0,(($B$6*$B$7*$B$9+$B$18*$B$20)*fe_leger+$B$29*$B$30*$B$32*fe_lourd)/100/1000)</f>
        <v/>
      </c>
      <c r="X64" s="6">
        <f>W64*ratio_wtw</f>
        <v/>
      </c>
      <c r="Y64" s="6">
        <f>IF(A64=0,0,$B$47*fe_elec/1000000)</f>
        <v/>
      </c>
    </row>
    <row r="65">
      <c r="A65">
        <f>A64+1</f>
        <v/>
      </c>
      <c r="B65" s="5">
        <f>IF(A65=0,($B$6*$B$11+$B$22+$B$29*$B$34+$B$41)*(1+taux_taxes),IF(A65=$B$15,$B$6*$B$48*(1+taux_taxes),0))</f>
        <v/>
      </c>
      <c r="C65" s="5">
        <f>IF(A65=0,$B$6*$B$14,IF(A65=1,$B$25+$B$29*$B$37,0))</f>
        <v/>
      </c>
      <c r="D65" s="5">
        <f>IF(A65=0,0,$B$47*prix_elec*(1+g_elec)^A65*(1+taux_taxes))</f>
        <v/>
      </c>
      <c r="E65" s="5">
        <f>IF(A65=0,0,($B$6*$B$7*$B$13+$B$18*$B$24+$B$29*$B$30*$B$36)*(1+g_entretien)^A65*(1+taux_taxes))</f>
        <v/>
      </c>
      <c r="F65" s="5">
        <f>IF(A65=0,0,infra_entretien_pct*$B$41*(1+g_entretien)^A65*(1+taux_taxes))</f>
        <v/>
      </c>
      <c r="G65" s="5">
        <f>IF(A65=$B$15,$B$6*$B$50,IF(A65=$B$4,$B$6*$B$52+$B$54+$B$29*$B$56+$B$58,0))</f>
        <v/>
      </c>
      <c r="H65" s="5">
        <f>B65-C65+D65+E65+F65-G65</f>
        <v/>
      </c>
      <c r="I65" s="5">
        <f>IF(A65=0,($B$6*$B$8+$B$19+$B$29*$B$31)*(1+taux_taxes),IF(A65=$B$15,$B$6*$B$49*(1+taux_taxes),0))</f>
        <v/>
      </c>
      <c r="J65" s="5">
        <f>IF(A65=0,0,($B$6*$B$7*$B$9+$B$18*$B$20+$B$29*$B$30*$B$32)/100*prix_diesel*(1+g_diesel)^A65*(1+taux_taxes))</f>
        <v/>
      </c>
      <c r="K65" s="5">
        <f>IF(A65=0,0,($B$6*$B$7*$B$10+$B$18*$B$21+$B$29*$B$30*$B$33)*(1+g_entretien)^A65*(1+taux_taxes))</f>
        <v/>
      </c>
      <c r="L65" s="5">
        <f>IF(A65=$B$15,$B$6*$B$51,IF(A65=$B$4,$B$6*$B$53+$B$55+$B$29*$B$57,0))</f>
        <v/>
      </c>
      <c r="M65" s="5">
        <f>I65+J65+K65-L65</f>
        <v/>
      </c>
      <c r="N65" s="5">
        <f>M65-H65</f>
        <v/>
      </c>
      <c r="O65" s="5">
        <f>1/(1+taux_r)^A65</f>
        <v/>
      </c>
      <c r="P65" s="5">
        <f>H65*O65</f>
        <v/>
      </c>
      <c r="Q65" s="5">
        <f>M65*O65</f>
        <v/>
      </c>
      <c r="R65" s="5">
        <f>R64+N65</f>
        <v/>
      </c>
      <c r="S65" s="5">
        <f>S64+N65*O65</f>
        <v/>
      </c>
      <c r="T65" s="5">
        <f>IF(A65=0,0,($B$6*$B$7+$B$18+$B$29*$B$30)*O65)</f>
        <v/>
      </c>
      <c r="U65" s="6">
        <f>IF(R65&gt;=0,A65,"")</f>
        <v/>
      </c>
      <c r="V65" s="6">
        <f>IF(S65&gt;=0,A65,"")</f>
        <v/>
      </c>
      <c r="W65" s="6">
        <f>IF(A65=0,0,(($B$6*$B$7*$B$9+$B$18*$B$20)*fe_leger+$B$29*$B$30*$B$32*fe_lourd)/100/1000)</f>
        <v/>
      </c>
      <c r="X65" s="6">
        <f>W65*ratio_wtw</f>
        <v/>
      </c>
      <c r="Y65" s="6">
        <f>IF(A65=0,0,$B$47*fe_elec/1000000)</f>
        <v/>
      </c>
    </row>
    <row r="66">
      <c r="A66">
        <f>A65+1</f>
        <v/>
      </c>
      <c r="B66" s="5">
        <f>IF(A66=0,($B$6*$B$11+$B$22+$B$29*$B$34+$B$41)*(1+taux_taxes),IF(A66=$B$15,$B$6*$B$48*(1+taux_taxes),0))</f>
        <v/>
      </c>
      <c r="C66" s="5">
        <f>IF(A66=0,$B$6*$B$14,IF(A66=1,$B$25+$B$29*$B$37,0))</f>
        <v/>
      </c>
      <c r="D66" s="5">
        <f>IF(A66=0,0,$B$47*prix_elec*(1+g_elec)^A66*(1+taux_taxes))</f>
        <v/>
      </c>
      <c r="E66" s="5">
        <f>IF(A66=0,0,($B$6*$B$7*$B$13+$B$18*$B$24+$B$29*$B$30*$B$36)*(1+g_entretien)^A66*(1+taux_taxes))</f>
        <v/>
      </c>
      <c r="F66" s="5">
        <f>IF(A66=0,0,infra_entretien_pct*$B$41*(1+g_entretien)^A66*(1+taux_taxes))</f>
        <v/>
      </c>
      <c r="G66" s="5">
        <f>IF(A66=$B$15,$B$6*$B$50,IF(A66=$B$4,$B$6*$B$52+$B$54+$B$29*$B$56+$B$58,0))</f>
        <v/>
      </c>
      <c r="H66" s="5">
        <f>B66-C66+D66+E66+F66-G66</f>
        <v/>
      </c>
      <c r="I66" s="5">
        <f>IF(A66=0,($B$6*$B$8+$B$19+$B$29*$B$31)*(1+taux_taxes),IF(A66=$B$15,$B$6*$B$49*(1+taux_taxes),0))</f>
        <v/>
      </c>
      <c r="J66" s="5">
        <f>IF(A66=0,0,($B$6*$B$7*$B$9+$B$18*$B$20+$B$29*$B$30*$B$32)/100*prix_diesel*(1+g_diesel)^A66*(1+taux_taxes))</f>
        <v/>
      </c>
      <c r="K66" s="5">
        <f>IF(A66=0,0,($B$6*$B$7*$B$10+$B$18*$B$21+$B$29*$B$30*$B$33)*(1+g_entretien)^A66*(1+taux_taxes))</f>
        <v/>
      </c>
      <c r="L66" s="5">
        <f>IF(A66=$B$15,$B$6*$B$51,IF(A66=$B$4,$B$6*$B$53+$B$55+$B$29*$B$57,0))</f>
        <v/>
      </c>
      <c r="M66" s="5">
        <f>I66+J66+K66-L66</f>
        <v/>
      </c>
      <c r="N66" s="5">
        <f>M66-H66</f>
        <v/>
      </c>
      <c r="O66" s="5">
        <f>1/(1+taux_r)^A66</f>
        <v/>
      </c>
      <c r="P66" s="5">
        <f>H66*O66</f>
        <v/>
      </c>
      <c r="Q66" s="5">
        <f>M66*O66</f>
        <v/>
      </c>
      <c r="R66" s="5">
        <f>R65+N66</f>
        <v/>
      </c>
      <c r="S66" s="5">
        <f>S65+N66*O66</f>
        <v/>
      </c>
      <c r="T66" s="5">
        <f>IF(A66=0,0,($B$6*$B$7+$B$18+$B$29*$B$30)*O66)</f>
        <v/>
      </c>
      <c r="U66" s="6">
        <f>IF(R66&gt;=0,A66,"")</f>
        <v/>
      </c>
      <c r="V66" s="6">
        <f>IF(S66&gt;=0,A66,"")</f>
        <v/>
      </c>
      <c r="W66" s="6">
        <f>IF(A66=0,0,(($B$6*$B$7*$B$9+$B$18*$B$20)*fe_leger+$B$29*$B$30*$B$32*fe_lourd)/100/1000)</f>
        <v/>
      </c>
      <c r="X66" s="6">
        <f>W66*ratio_wtw</f>
        <v/>
      </c>
      <c r="Y66" s="6">
        <f>IF(A66=0,0,$B$47*fe_elec/1000000)</f>
        <v/>
      </c>
    </row>
    <row r="67">
      <c r="A67">
        <f>A66+1</f>
        <v/>
      </c>
      <c r="B67" s="5">
        <f>IF(A67=0,($B$6*$B$11+$B$22+$B$29*$B$34+$B$41)*(1+taux_taxes),IF(A67=$B$15,$B$6*$B$48*(1+taux_taxes),0))</f>
        <v/>
      </c>
      <c r="C67" s="5">
        <f>IF(A67=0,$B$6*$B$14,IF(A67=1,$B$25+$B$29*$B$37,0))</f>
        <v/>
      </c>
      <c r="D67" s="5">
        <f>IF(A67=0,0,$B$47*prix_elec*(1+g_elec)^A67*(1+taux_taxes))</f>
        <v/>
      </c>
      <c r="E67" s="5">
        <f>IF(A67=0,0,($B$6*$B$7*$B$13+$B$18*$B$24+$B$29*$B$30*$B$36)*(1+g_entretien)^A67*(1+taux_taxes))</f>
        <v/>
      </c>
      <c r="F67" s="5">
        <f>IF(A67=0,0,infra_entretien_pct*$B$41*(1+g_entretien)^A67*(1+taux_taxes))</f>
        <v/>
      </c>
      <c r="G67" s="5">
        <f>IF(A67=$B$15,$B$6*$B$50,IF(A67=$B$4,$B$6*$B$52+$B$54+$B$29*$B$56+$B$58,0))</f>
        <v/>
      </c>
      <c r="H67" s="5">
        <f>B67-C67+D67+E67+F67-G67</f>
        <v/>
      </c>
      <c r="I67" s="5">
        <f>IF(A67=0,($B$6*$B$8+$B$19+$B$29*$B$31)*(1+taux_taxes),IF(A67=$B$15,$B$6*$B$49*(1+taux_taxes),0))</f>
        <v/>
      </c>
      <c r="J67" s="5">
        <f>IF(A67=0,0,($B$6*$B$7*$B$9+$B$18*$B$20+$B$29*$B$30*$B$32)/100*prix_diesel*(1+g_diesel)^A67*(1+taux_taxes))</f>
        <v/>
      </c>
      <c r="K67" s="5">
        <f>IF(A67=0,0,($B$6*$B$7*$B$10+$B$18*$B$21+$B$29*$B$30*$B$33)*(1+g_entretien)^A67*(1+taux_taxes))</f>
        <v/>
      </c>
      <c r="L67" s="5">
        <f>IF(A67=$B$15,$B$6*$B$51,IF(A67=$B$4,$B$6*$B$53+$B$55+$B$29*$B$57,0))</f>
        <v/>
      </c>
      <c r="M67" s="5">
        <f>I67+J67+K67-L67</f>
        <v/>
      </c>
      <c r="N67" s="5">
        <f>M67-H67</f>
        <v/>
      </c>
      <c r="O67" s="5">
        <f>1/(1+taux_r)^A67</f>
        <v/>
      </c>
      <c r="P67" s="5">
        <f>H67*O67</f>
        <v/>
      </c>
      <c r="Q67" s="5">
        <f>M67*O67</f>
        <v/>
      </c>
      <c r="R67" s="5">
        <f>R66+N67</f>
        <v/>
      </c>
      <c r="S67" s="5">
        <f>S66+N67*O67</f>
        <v/>
      </c>
      <c r="T67" s="5">
        <f>IF(A67=0,0,($B$6*$B$7+$B$18+$B$29*$B$30)*O67)</f>
        <v/>
      </c>
      <c r="U67" s="6">
        <f>IF(R67&gt;=0,A67,"")</f>
        <v/>
      </c>
      <c r="V67" s="6">
        <f>IF(S67&gt;=0,A67,"")</f>
        <v/>
      </c>
      <c r="W67" s="6">
        <f>IF(A67=0,0,(($B$6*$B$7*$B$9+$B$18*$B$20)*fe_leger+$B$29*$B$30*$B$32*fe_lourd)/100/1000)</f>
        <v/>
      </c>
      <c r="X67" s="6">
        <f>W67*ratio_wtw</f>
        <v/>
      </c>
      <c r="Y67" s="6">
        <f>IF(A67=0,0,$B$47*fe_elec/1000000)</f>
        <v/>
      </c>
    </row>
    <row r="68">
      <c r="A68">
        <f>A67+1</f>
        <v/>
      </c>
      <c r="B68" s="5">
        <f>IF(A68=0,($B$6*$B$11+$B$22+$B$29*$B$34+$B$41)*(1+taux_taxes),IF(A68=$B$15,$B$6*$B$48*(1+taux_taxes),0))</f>
        <v/>
      </c>
      <c r="C68" s="5">
        <f>IF(A68=0,$B$6*$B$14,IF(A68=1,$B$25+$B$29*$B$37,0))</f>
        <v/>
      </c>
      <c r="D68" s="5">
        <f>IF(A68=0,0,$B$47*prix_elec*(1+g_elec)^A68*(1+taux_taxes))</f>
        <v/>
      </c>
      <c r="E68" s="5">
        <f>IF(A68=0,0,($B$6*$B$7*$B$13+$B$18*$B$24+$B$29*$B$30*$B$36)*(1+g_entretien)^A68*(1+taux_taxes))</f>
        <v/>
      </c>
      <c r="F68" s="5">
        <f>IF(A68=0,0,infra_entretien_pct*$B$41*(1+g_entretien)^A68*(1+taux_taxes))</f>
        <v/>
      </c>
      <c r="G68" s="5">
        <f>IF(A68=$B$15,$B$6*$B$50,IF(A68=$B$4,$B$6*$B$52+$B$54+$B$29*$B$56+$B$58,0))</f>
        <v/>
      </c>
      <c r="H68" s="5">
        <f>B68-C68+D68+E68+F68-G68</f>
        <v/>
      </c>
      <c r="I68" s="5">
        <f>IF(A68=0,($B$6*$B$8+$B$19+$B$29*$B$31)*(1+taux_taxes),IF(A68=$B$15,$B$6*$B$49*(1+taux_taxes),0))</f>
        <v/>
      </c>
      <c r="J68" s="5">
        <f>IF(A68=0,0,($B$6*$B$7*$B$9+$B$18*$B$20+$B$29*$B$30*$B$32)/100*prix_diesel*(1+g_diesel)^A68*(1+taux_taxes))</f>
        <v/>
      </c>
      <c r="K68" s="5">
        <f>IF(A68=0,0,($B$6*$B$7*$B$10+$B$18*$B$21+$B$29*$B$30*$B$33)*(1+g_entretien)^A68*(1+taux_taxes))</f>
        <v/>
      </c>
      <c r="L68" s="5">
        <f>IF(A68=$B$15,$B$6*$B$51,IF(A68=$B$4,$B$6*$B$53+$B$55+$B$29*$B$57,0))</f>
        <v/>
      </c>
      <c r="M68" s="5">
        <f>I68+J68+K68-L68</f>
        <v/>
      </c>
      <c r="N68" s="5">
        <f>M68-H68</f>
        <v/>
      </c>
      <c r="O68" s="5">
        <f>1/(1+taux_r)^A68</f>
        <v/>
      </c>
      <c r="P68" s="5">
        <f>H68*O68</f>
        <v/>
      </c>
      <c r="Q68" s="5">
        <f>M68*O68</f>
        <v/>
      </c>
      <c r="R68" s="5">
        <f>R67+N68</f>
        <v/>
      </c>
      <c r="S68" s="5">
        <f>S67+N68*O68</f>
        <v/>
      </c>
      <c r="T68" s="5">
        <f>IF(A68=0,0,($B$6*$B$7+$B$18+$B$29*$B$30)*O68)</f>
        <v/>
      </c>
      <c r="U68" s="6">
        <f>IF(R68&gt;=0,A68,"")</f>
        <v/>
      </c>
      <c r="V68" s="6">
        <f>IF(S68&gt;=0,A68,"")</f>
        <v/>
      </c>
      <c r="W68" s="6">
        <f>IF(A68=0,0,(($B$6*$B$7*$B$9+$B$18*$B$20)*fe_leger+$B$29*$B$30*$B$32*fe_lourd)/100/1000)</f>
        <v/>
      </c>
      <c r="X68" s="6">
        <f>W68*ratio_wtw</f>
        <v/>
      </c>
      <c r="Y68" s="6">
        <f>IF(A68=0,0,$B$47*fe_elec/1000000)</f>
        <v/>
      </c>
    </row>
    <row r="69">
      <c r="A69">
        <f>A68+1</f>
        <v/>
      </c>
      <c r="B69" s="5">
        <f>IF(A69=0,($B$6*$B$11+$B$22+$B$29*$B$34+$B$41)*(1+taux_taxes),IF(A69=$B$15,$B$6*$B$48*(1+taux_taxes),0))</f>
        <v/>
      </c>
      <c r="C69" s="5">
        <f>IF(A69=0,$B$6*$B$14,IF(A69=1,$B$25+$B$29*$B$37,0))</f>
        <v/>
      </c>
      <c r="D69" s="5">
        <f>IF(A69=0,0,$B$47*prix_elec*(1+g_elec)^A69*(1+taux_taxes))</f>
        <v/>
      </c>
      <c r="E69" s="5">
        <f>IF(A69=0,0,($B$6*$B$7*$B$13+$B$18*$B$24+$B$29*$B$30*$B$36)*(1+g_entretien)^A69*(1+taux_taxes))</f>
        <v/>
      </c>
      <c r="F69" s="5">
        <f>IF(A69=0,0,infra_entretien_pct*$B$41*(1+g_entretien)^A69*(1+taux_taxes))</f>
        <v/>
      </c>
      <c r="G69" s="5">
        <f>IF(A69=$B$15,$B$6*$B$50,IF(A69=$B$4,$B$6*$B$52+$B$54+$B$29*$B$56+$B$58,0))</f>
        <v/>
      </c>
      <c r="H69" s="5">
        <f>B69-C69+D69+E69+F69-G69</f>
        <v/>
      </c>
      <c r="I69" s="5">
        <f>IF(A69=0,($B$6*$B$8+$B$19+$B$29*$B$31)*(1+taux_taxes),IF(A69=$B$15,$B$6*$B$49*(1+taux_taxes),0))</f>
        <v/>
      </c>
      <c r="J69" s="5">
        <f>IF(A69=0,0,($B$6*$B$7*$B$9+$B$18*$B$20+$B$29*$B$30*$B$32)/100*prix_diesel*(1+g_diesel)^A69*(1+taux_taxes))</f>
        <v/>
      </c>
      <c r="K69" s="5">
        <f>IF(A69=0,0,($B$6*$B$7*$B$10+$B$18*$B$21+$B$29*$B$30*$B$33)*(1+g_entretien)^A69*(1+taux_taxes))</f>
        <v/>
      </c>
      <c r="L69" s="5">
        <f>IF(A69=$B$15,$B$6*$B$51,IF(A69=$B$4,$B$6*$B$53+$B$55+$B$29*$B$57,0))</f>
        <v/>
      </c>
      <c r="M69" s="5">
        <f>I69+J69+K69-L69</f>
        <v/>
      </c>
      <c r="N69" s="5">
        <f>M69-H69</f>
        <v/>
      </c>
      <c r="O69" s="5">
        <f>1/(1+taux_r)^A69</f>
        <v/>
      </c>
      <c r="P69" s="5">
        <f>H69*O69</f>
        <v/>
      </c>
      <c r="Q69" s="5">
        <f>M69*O69</f>
        <v/>
      </c>
      <c r="R69" s="5">
        <f>R68+N69</f>
        <v/>
      </c>
      <c r="S69" s="5">
        <f>S68+N69*O69</f>
        <v/>
      </c>
      <c r="T69" s="5">
        <f>IF(A69=0,0,($B$6*$B$7+$B$18+$B$29*$B$30)*O69)</f>
        <v/>
      </c>
      <c r="U69" s="6">
        <f>IF(R69&gt;=0,A69,"")</f>
        <v/>
      </c>
      <c r="V69" s="6">
        <f>IF(S69&gt;=0,A69,"")</f>
        <v/>
      </c>
      <c r="W69" s="6">
        <f>IF(A69=0,0,(($B$6*$B$7*$B$9+$B$18*$B$20)*fe_leger+$B$29*$B$30*$B$32*fe_lourd)/100/1000)</f>
        <v/>
      </c>
      <c r="X69" s="6">
        <f>W69*ratio_wtw</f>
        <v/>
      </c>
      <c r="Y69" s="6">
        <f>IF(A69=0,0,$B$47*fe_elec/1000000)</f>
        <v/>
      </c>
    </row>
    <row r="70">
      <c r="A70">
        <f>A69+1</f>
        <v/>
      </c>
      <c r="B70" s="5">
        <f>IF(A70=0,($B$6*$B$11+$B$22+$B$29*$B$34+$B$41)*(1+taux_taxes),IF(A70=$B$15,$B$6*$B$48*(1+taux_taxes),0))</f>
        <v/>
      </c>
      <c r="C70" s="5">
        <f>IF(A70=0,$B$6*$B$14,IF(A70=1,$B$25+$B$29*$B$37,0))</f>
        <v/>
      </c>
      <c r="D70" s="5">
        <f>IF(A70=0,0,$B$47*prix_elec*(1+g_elec)^A70*(1+taux_taxes))</f>
        <v/>
      </c>
      <c r="E70" s="5">
        <f>IF(A70=0,0,($B$6*$B$7*$B$13+$B$18*$B$24+$B$29*$B$30*$B$36)*(1+g_entretien)^A70*(1+taux_taxes))</f>
        <v/>
      </c>
      <c r="F70" s="5">
        <f>IF(A70=0,0,infra_entretien_pct*$B$41*(1+g_entretien)^A70*(1+taux_taxes))</f>
        <v/>
      </c>
      <c r="G70" s="5">
        <f>IF(A70=$B$15,$B$6*$B$50,IF(A70=$B$4,$B$6*$B$52+$B$54+$B$29*$B$56+$B$58,0))</f>
        <v/>
      </c>
      <c r="H70" s="5">
        <f>B70-C70+D70+E70+F70-G70</f>
        <v/>
      </c>
      <c r="I70" s="5">
        <f>IF(A70=0,($B$6*$B$8+$B$19+$B$29*$B$31)*(1+taux_taxes),IF(A70=$B$15,$B$6*$B$49*(1+taux_taxes),0))</f>
        <v/>
      </c>
      <c r="J70" s="5">
        <f>IF(A70=0,0,($B$6*$B$7*$B$9+$B$18*$B$20+$B$29*$B$30*$B$32)/100*prix_diesel*(1+g_diesel)^A70*(1+taux_taxes))</f>
        <v/>
      </c>
      <c r="K70" s="5">
        <f>IF(A70=0,0,($B$6*$B$7*$B$10+$B$18*$B$21+$B$29*$B$30*$B$33)*(1+g_entretien)^A70*(1+taux_taxes))</f>
        <v/>
      </c>
      <c r="L70" s="5">
        <f>IF(A70=$B$15,$B$6*$B$51,IF(A70=$B$4,$B$6*$B$53+$B$55+$B$29*$B$57,0))</f>
        <v/>
      </c>
      <c r="M70" s="5">
        <f>I70+J70+K70-L70</f>
        <v/>
      </c>
      <c r="N70" s="5">
        <f>M70-H70</f>
        <v/>
      </c>
      <c r="O70" s="5">
        <f>1/(1+taux_r)^A70</f>
        <v/>
      </c>
      <c r="P70" s="5">
        <f>H70*O70</f>
        <v/>
      </c>
      <c r="Q70" s="5">
        <f>M70*O70</f>
        <v/>
      </c>
      <c r="R70" s="5">
        <f>R69+N70</f>
        <v/>
      </c>
      <c r="S70" s="5">
        <f>S69+N70*O70</f>
        <v/>
      </c>
      <c r="T70" s="5">
        <f>IF(A70=0,0,($B$6*$B$7+$B$18+$B$29*$B$30)*O70)</f>
        <v/>
      </c>
      <c r="U70" s="6">
        <f>IF(R70&gt;=0,A70,"")</f>
        <v/>
      </c>
      <c r="V70" s="6">
        <f>IF(S70&gt;=0,A70,"")</f>
        <v/>
      </c>
      <c r="W70" s="6">
        <f>IF(A70=0,0,(($B$6*$B$7*$B$9+$B$18*$B$20)*fe_leger+$B$29*$B$30*$B$32*fe_lourd)/100/1000)</f>
        <v/>
      </c>
      <c r="X70" s="6">
        <f>W70*ratio_wtw</f>
        <v/>
      </c>
      <c r="Y70" s="6">
        <f>IF(A70=0,0,$B$47*fe_elec/1000000)</f>
        <v/>
      </c>
    </row>
    <row r="71">
      <c r="A71">
        <f>A70+1</f>
        <v/>
      </c>
      <c r="B71" s="5">
        <f>IF(A71=0,($B$6*$B$11+$B$22+$B$29*$B$34+$B$41)*(1+taux_taxes),IF(A71=$B$15,$B$6*$B$48*(1+taux_taxes),0))</f>
        <v/>
      </c>
      <c r="C71" s="5">
        <f>IF(A71=0,$B$6*$B$14,IF(A71=1,$B$25+$B$29*$B$37,0))</f>
        <v/>
      </c>
      <c r="D71" s="5">
        <f>IF(A71=0,0,$B$47*prix_elec*(1+g_elec)^A71*(1+taux_taxes))</f>
        <v/>
      </c>
      <c r="E71" s="5">
        <f>IF(A71=0,0,($B$6*$B$7*$B$13+$B$18*$B$24+$B$29*$B$30*$B$36)*(1+g_entretien)^A71*(1+taux_taxes))</f>
        <v/>
      </c>
      <c r="F71" s="5">
        <f>IF(A71=0,0,infra_entretien_pct*$B$41*(1+g_entretien)^A71*(1+taux_taxes))</f>
        <v/>
      </c>
      <c r="G71" s="5">
        <f>IF(A71=$B$15,$B$6*$B$50,IF(A71=$B$4,$B$6*$B$52+$B$54+$B$29*$B$56+$B$58,0))</f>
        <v/>
      </c>
      <c r="H71" s="5">
        <f>B71-C71+D71+E71+F71-G71</f>
        <v/>
      </c>
      <c r="I71" s="5">
        <f>IF(A71=0,($B$6*$B$8+$B$19+$B$29*$B$31)*(1+taux_taxes),IF(A71=$B$15,$B$6*$B$49*(1+taux_taxes),0))</f>
        <v/>
      </c>
      <c r="J71" s="5">
        <f>IF(A71=0,0,($B$6*$B$7*$B$9+$B$18*$B$20+$B$29*$B$30*$B$32)/100*prix_diesel*(1+g_diesel)^A71*(1+taux_taxes))</f>
        <v/>
      </c>
      <c r="K71" s="5">
        <f>IF(A71=0,0,($B$6*$B$7*$B$10+$B$18*$B$21+$B$29*$B$30*$B$33)*(1+g_entretien)^A71*(1+taux_taxes))</f>
        <v/>
      </c>
      <c r="L71" s="5">
        <f>IF(A71=$B$15,$B$6*$B$51,IF(A71=$B$4,$B$6*$B$53+$B$55+$B$29*$B$57,0))</f>
        <v/>
      </c>
      <c r="M71" s="5">
        <f>I71+J71+K71-L71</f>
        <v/>
      </c>
      <c r="N71" s="5">
        <f>M71-H71</f>
        <v/>
      </c>
      <c r="O71" s="5">
        <f>1/(1+taux_r)^A71</f>
        <v/>
      </c>
      <c r="P71" s="5">
        <f>H71*O71</f>
        <v/>
      </c>
      <c r="Q71" s="5">
        <f>M71*O71</f>
        <v/>
      </c>
      <c r="R71" s="5">
        <f>R70+N71</f>
        <v/>
      </c>
      <c r="S71" s="5">
        <f>S70+N71*O71</f>
        <v/>
      </c>
      <c r="T71" s="5">
        <f>IF(A71=0,0,($B$6*$B$7+$B$18+$B$29*$B$30)*O71)</f>
        <v/>
      </c>
      <c r="U71" s="6">
        <f>IF(R71&gt;=0,A71,"")</f>
        <v/>
      </c>
      <c r="V71" s="6">
        <f>IF(S71&gt;=0,A71,"")</f>
        <v/>
      </c>
      <c r="W71" s="6">
        <f>IF(A71=0,0,(($B$6*$B$7*$B$9+$B$18*$B$20)*fe_leger+$B$29*$B$30*$B$32*fe_lourd)/100/1000)</f>
        <v/>
      </c>
      <c r="X71" s="6">
        <f>W71*ratio_wtw</f>
        <v/>
      </c>
      <c r="Y71" s="6">
        <f>IF(A71=0,0,$B$47*fe_elec/1000000)</f>
        <v/>
      </c>
    </row>
    <row r="72">
      <c r="A72">
        <f>A71+1</f>
        <v/>
      </c>
      <c r="B72" s="5">
        <f>IF(A72=0,($B$6*$B$11+$B$22+$B$29*$B$34+$B$41)*(1+taux_taxes),IF(A72=$B$15,$B$6*$B$48*(1+taux_taxes),0))</f>
        <v/>
      </c>
      <c r="C72" s="5">
        <f>IF(A72=0,$B$6*$B$14,IF(A72=1,$B$25+$B$29*$B$37,0))</f>
        <v/>
      </c>
      <c r="D72" s="5">
        <f>IF(A72=0,0,$B$47*prix_elec*(1+g_elec)^A72*(1+taux_taxes))</f>
        <v/>
      </c>
      <c r="E72" s="5">
        <f>IF(A72=0,0,($B$6*$B$7*$B$13+$B$18*$B$24+$B$29*$B$30*$B$36)*(1+g_entretien)^A72*(1+taux_taxes))</f>
        <v/>
      </c>
      <c r="F72" s="5">
        <f>IF(A72=0,0,infra_entretien_pct*$B$41*(1+g_entretien)^A72*(1+taux_taxes))</f>
        <v/>
      </c>
      <c r="G72" s="5">
        <f>IF(A72=$B$15,$B$6*$B$50,IF(A72=$B$4,$B$6*$B$52+$B$54+$B$29*$B$56+$B$58,0))</f>
        <v/>
      </c>
      <c r="H72" s="5">
        <f>B72-C72+D72+E72+F72-G72</f>
        <v/>
      </c>
      <c r="I72" s="5">
        <f>IF(A72=0,($B$6*$B$8+$B$19+$B$29*$B$31)*(1+taux_taxes),IF(A72=$B$15,$B$6*$B$49*(1+taux_taxes),0))</f>
        <v/>
      </c>
      <c r="J72" s="5">
        <f>IF(A72=0,0,($B$6*$B$7*$B$9+$B$18*$B$20+$B$29*$B$30*$B$32)/100*prix_diesel*(1+g_diesel)^A72*(1+taux_taxes))</f>
        <v/>
      </c>
      <c r="K72" s="5">
        <f>IF(A72=0,0,($B$6*$B$7*$B$10+$B$18*$B$21+$B$29*$B$30*$B$33)*(1+g_entretien)^A72*(1+taux_taxes))</f>
        <v/>
      </c>
      <c r="L72" s="5">
        <f>IF(A72=$B$15,$B$6*$B$51,IF(A72=$B$4,$B$6*$B$53+$B$55+$B$29*$B$57,0))</f>
        <v/>
      </c>
      <c r="M72" s="5">
        <f>I72+J72+K72-L72</f>
        <v/>
      </c>
      <c r="N72" s="5">
        <f>M72-H72</f>
        <v/>
      </c>
      <c r="O72" s="5">
        <f>1/(1+taux_r)^A72</f>
        <v/>
      </c>
      <c r="P72" s="5">
        <f>H72*O72</f>
        <v/>
      </c>
      <c r="Q72" s="5">
        <f>M72*O72</f>
        <v/>
      </c>
      <c r="R72" s="5">
        <f>R71+N72</f>
        <v/>
      </c>
      <c r="S72" s="5">
        <f>S71+N72*O72</f>
        <v/>
      </c>
      <c r="T72" s="5">
        <f>IF(A72=0,0,($B$6*$B$7+$B$18+$B$29*$B$30)*O72)</f>
        <v/>
      </c>
      <c r="U72" s="6">
        <f>IF(R72&gt;=0,A72,"")</f>
        <v/>
      </c>
      <c r="V72" s="6">
        <f>IF(S72&gt;=0,A72,"")</f>
        <v/>
      </c>
      <c r="W72" s="6">
        <f>IF(A72=0,0,(($B$6*$B$7*$B$9+$B$18*$B$20)*fe_leger+$B$29*$B$30*$B$32*fe_lourd)/100/1000)</f>
        <v/>
      </c>
      <c r="X72" s="6">
        <f>W72*ratio_wtw</f>
        <v/>
      </c>
      <c r="Y72" s="6">
        <f>IF(A72=0,0,$B$47*fe_elec/1000000)</f>
        <v/>
      </c>
    </row>
    <row r="73">
      <c r="A73">
        <f>A72+1</f>
        <v/>
      </c>
      <c r="B73" s="5">
        <f>IF(A73=0,($B$6*$B$11+$B$22+$B$29*$B$34+$B$41)*(1+taux_taxes),IF(A73=$B$15,$B$6*$B$48*(1+taux_taxes),0))</f>
        <v/>
      </c>
      <c r="C73" s="5">
        <f>IF(A73=0,$B$6*$B$14,IF(A73=1,$B$25+$B$29*$B$37,0))</f>
        <v/>
      </c>
      <c r="D73" s="5">
        <f>IF(A73=0,0,$B$47*prix_elec*(1+g_elec)^A73*(1+taux_taxes))</f>
        <v/>
      </c>
      <c r="E73" s="5">
        <f>IF(A73=0,0,($B$6*$B$7*$B$13+$B$18*$B$24+$B$29*$B$30*$B$36)*(1+g_entretien)^A73*(1+taux_taxes))</f>
        <v/>
      </c>
      <c r="F73" s="5">
        <f>IF(A73=0,0,infra_entretien_pct*$B$41*(1+g_entretien)^A73*(1+taux_taxes))</f>
        <v/>
      </c>
      <c r="G73" s="5">
        <f>IF(A73=$B$15,$B$6*$B$50,IF(A73=$B$4,$B$6*$B$52+$B$54+$B$29*$B$56+$B$58,0))</f>
        <v/>
      </c>
      <c r="H73" s="5">
        <f>B73-C73+D73+E73+F73-G73</f>
        <v/>
      </c>
      <c r="I73" s="5">
        <f>IF(A73=0,($B$6*$B$8+$B$19+$B$29*$B$31)*(1+taux_taxes),IF(A73=$B$15,$B$6*$B$49*(1+taux_taxes),0))</f>
        <v/>
      </c>
      <c r="J73" s="5">
        <f>IF(A73=0,0,($B$6*$B$7*$B$9+$B$18*$B$20+$B$29*$B$30*$B$32)/100*prix_diesel*(1+g_diesel)^A73*(1+taux_taxes))</f>
        <v/>
      </c>
      <c r="K73" s="5">
        <f>IF(A73=0,0,($B$6*$B$7*$B$10+$B$18*$B$21+$B$29*$B$30*$B$33)*(1+g_entretien)^A73*(1+taux_taxes))</f>
        <v/>
      </c>
      <c r="L73" s="5">
        <f>IF(A73=$B$15,$B$6*$B$51,IF(A73=$B$4,$B$6*$B$53+$B$55+$B$29*$B$57,0))</f>
        <v/>
      </c>
      <c r="M73" s="5">
        <f>I73+J73+K73-L73</f>
        <v/>
      </c>
      <c r="N73" s="5">
        <f>M73-H73</f>
        <v/>
      </c>
      <c r="O73" s="5">
        <f>1/(1+taux_r)^A73</f>
        <v/>
      </c>
      <c r="P73" s="5">
        <f>H73*O73</f>
        <v/>
      </c>
      <c r="Q73" s="5">
        <f>M73*O73</f>
        <v/>
      </c>
      <c r="R73" s="5">
        <f>R72+N73</f>
        <v/>
      </c>
      <c r="S73" s="5">
        <f>S72+N73*O73</f>
        <v/>
      </c>
      <c r="T73" s="5">
        <f>IF(A73=0,0,($B$6*$B$7+$B$18+$B$29*$B$30)*O73)</f>
        <v/>
      </c>
      <c r="U73" s="6">
        <f>IF(R73&gt;=0,A73,"")</f>
        <v/>
      </c>
      <c r="V73" s="6">
        <f>IF(S73&gt;=0,A73,"")</f>
        <v/>
      </c>
      <c r="W73" s="6">
        <f>IF(A73=0,0,(($B$6*$B$7*$B$9+$B$18*$B$20)*fe_leger+$B$29*$B$30*$B$32*fe_lourd)/100/1000)</f>
        <v/>
      </c>
      <c r="X73" s="6">
        <f>W73*ratio_wtw</f>
        <v/>
      </c>
      <c r="Y73" s="6">
        <f>IF(A73=0,0,$B$47*fe_elec/1000000)</f>
        <v/>
      </c>
    </row>
    <row r="74">
      <c r="A74">
        <f>A73+1</f>
        <v/>
      </c>
      <c r="B74" s="5">
        <f>IF(A74=0,($B$6*$B$11+$B$22+$B$29*$B$34+$B$41)*(1+taux_taxes),IF(A74=$B$15,$B$6*$B$48*(1+taux_taxes),0))</f>
        <v/>
      </c>
      <c r="C74" s="5">
        <f>IF(A74=0,$B$6*$B$14,IF(A74=1,$B$25+$B$29*$B$37,0))</f>
        <v/>
      </c>
      <c r="D74" s="5">
        <f>IF(A74=0,0,$B$47*prix_elec*(1+g_elec)^A74*(1+taux_taxes))</f>
        <v/>
      </c>
      <c r="E74" s="5">
        <f>IF(A74=0,0,($B$6*$B$7*$B$13+$B$18*$B$24+$B$29*$B$30*$B$36)*(1+g_entretien)^A74*(1+taux_taxes))</f>
        <v/>
      </c>
      <c r="F74" s="5">
        <f>IF(A74=0,0,infra_entretien_pct*$B$41*(1+g_entretien)^A74*(1+taux_taxes))</f>
        <v/>
      </c>
      <c r="G74" s="5">
        <f>IF(A74=$B$15,$B$6*$B$50,IF(A74=$B$4,$B$6*$B$52+$B$54+$B$29*$B$56+$B$58,0))</f>
        <v/>
      </c>
      <c r="H74" s="5">
        <f>B74-C74+D74+E74+F74-G74</f>
        <v/>
      </c>
      <c r="I74" s="5">
        <f>IF(A74=0,($B$6*$B$8+$B$19+$B$29*$B$31)*(1+taux_taxes),IF(A74=$B$15,$B$6*$B$49*(1+taux_taxes),0))</f>
        <v/>
      </c>
      <c r="J74" s="5">
        <f>IF(A74=0,0,($B$6*$B$7*$B$9+$B$18*$B$20+$B$29*$B$30*$B$32)/100*prix_diesel*(1+g_diesel)^A74*(1+taux_taxes))</f>
        <v/>
      </c>
      <c r="K74" s="5">
        <f>IF(A74=0,0,($B$6*$B$7*$B$10+$B$18*$B$21+$B$29*$B$30*$B$33)*(1+g_entretien)^A74*(1+taux_taxes))</f>
        <v/>
      </c>
      <c r="L74" s="5">
        <f>IF(A74=$B$15,$B$6*$B$51,IF(A74=$B$4,$B$6*$B$53+$B$55+$B$29*$B$57,0))</f>
        <v/>
      </c>
      <c r="M74" s="5">
        <f>I74+J74+K74-L74</f>
        <v/>
      </c>
      <c r="N74" s="5">
        <f>M74-H74</f>
        <v/>
      </c>
      <c r="O74" s="5">
        <f>1/(1+taux_r)^A74</f>
        <v/>
      </c>
      <c r="P74" s="5">
        <f>H74*O74</f>
        <v/>
      </c>
      <c r="Q74" s="5">
        <f>M74*O74</f>
        <v/>
      </c>
      <c r="R74" s="5">
        <f>R73+N74</f>
        <v/>
      </c>
      <c r="S74" s="5">
        <f>S73+N74*O74</f>
        <v/>
      </c>
      <c r="T74" s="5">
        <f>IF(A74=0,0,($B$6*$B$7+$B$18+$B$29*$B$30)*O74)</f>
        <v/>
      </c>
      <c r="U74" s="6">
        <f>IF(R74&gt;=0,A74,"")</f>
        <v/>
      </c>
      <c r="V74" s="6">
        <f>IF(S74&gt;=0,A74,"")</f>
        <v/>
      </c>
      <c r="W74" s="6">
        <f>IF(A74=0,0,(($B$6*$B$7*$B$9+$B$18*$B$20)*fe_leger+$B$29*$B$30*$B$32*fe_lourd)/100/1000)</f>
        <v/>
      </c>
      <c r="X74" s="6">
        <f>W74*ratio_wtw</f>
        <v/>
      </c>
      <c r="Y74" s="6">
        <f>IF(A74=0,0,$B$47*fe_elec/1000000)</f>
        <v/>
      </c>
    </row>
    <row r="76">
      <c r="A76" s="2" t="inlineStr">
        <is>
          <t>Résultats (formules)</t>
        </is>
      </c>
      <c r="C76" s="2" t="inlineStr">
        <is>
          <t>Attendu (contre-calcul indépendant, JSON) — comparaison seulement</t>
        </is>
      </c>
    </row>
    <row r="77">
      <c r="A77" s="2" t="inlineStr">
        <is>
          <t>TCO actualisé — alternative ($)</t>
        </is>
      </c>
      <c r="B77" s="4">
        <f>SUM(P62:P74)</f>
        <v/>
      </c>
      <c r="C77" s="7" t="n">
        <v>1124208.36</v>
      </c>
    </row>
    <row r="78">
      <c r="A78" s="2" t="inlineStr">
        <is>
          <t>TCO actualisé — référence ($)</t>
        </is>
      </c>
      <c r="B78" s="4">
        <f>SUM(Q62:Q74)</f>
        <v/>
      </c>
      <c r="C78" s="7" t="n">
        <v>1287813.2</v>
      </c>
    </row>
    <row r="79">
      <c r="A79" s="2" t="inlineStr">
        <is>
          <t>VAN différentielle réf − alt ($)</t>
        </is>
      </c>
      <c r="B79" s="4">
        <f>B78-B77</f>
        <v/>
      </c>
      <c r="C79" s="7" t="n">
        <v>163604.85</v>
      </c>
    </row>
    <row r="80">
      <c r="A80" s="2" t="inlineStr">
        <is>
          <t>km actualisés</t>
        </is>
      </c>
      <c r="B80" s="4">
        <f>SUM(T62:T74)</f>
        <v/>
      </c>
    </row>
    <row r="81">
      <c r="A81" s="2" t="inlineStr">
        <is>
          <t>TCO/km actualisé — alternative ($/km)</t>
        </is>
      </c>
      <c r="B81" s="4">
        <f>B77/B80</f>
        <v/>
      </c>
      <c r="C81" s="7" t="n">
        <v>0.8456</v>
      </c>
    </row>
    <row r="82">
      <c r="A82" s="2" t="inlineStr">
        <is>
          <t>TCO/km actualisé — référence ($/km)</t>
        </is>
      </c>
      <c r="B82" s="4">
        <f>B78/B80</f>
        <v/>
      </c>
    </row>
    <row r="83">
      <c r="A83" s="2" t="inlineStr">
        <is>
          <t>Délai de récupération simple (années)</t>
        </is>
      </c>
      <c r="B83" s="4">
        <f>IF(COUNT(U62:U74)=0,"null : jamais atteint sur l'horizon",MIN(U62:U74))</f>
        <v/>
      </c>
      <c r="C83" s="7" t="n">
        <v>7</v>
      </c>
    </row>
    <row r="84">
      <c r="A84" s="2" t="inlineStr">
        <is>
          <t>Délai de récupération actualisé (années)</t>
        </is>
      </c>
      <c r="B84" s="4">
        <f>IF(COUNT(V62:V74)=0,"null : jamais atteint sur l'horizon",MIN(V62:V74))</f>
        <v/>
      </c>
      <c r="C84" s="7" t="n">
        <v>9</v>
      </c>
    </row>
    <row r="85">
      <c r="A85" s="2" t="inlineStr">
        <is>
          <t>CO2e évité cumulé TTW (t)</t>
        </is>
      </c>
      <c r="B85" s="4">
        <f>SUM(W62:W74)</f>
        <v/>
      </c>
      <c r="C85" s="7" t="n">
        <v>890.95</v>
      </c>
    </row>
    <row r="86">
      <c r="A86" s="2" t="inlineStr">
        <is>
          <t>CO2e évité cumulé WTW (t)</t>
        </is>
      </c>
      <c r="B86" s="4">
        <f>SUM(X62:X74)-SUM(Y62:Y74)</f>
        <v/>
      </c>
      <c r="C86" s="7" t="n">
        <v>1112.596</v>
      </c>
    </row>
    <row r="87">
      <c r="A87" s="2" t="inlineStr">
        <is>
          <t>Coût (+) ou gain (−) par tonne WTW évitée ($/t)</t>
        </is>
      </c>
      <c r="B87" s="4">
        <f>(B77-B78)/B86</f>
        <v/>
      </c>
      <c r="C87" s="7" t="n">
        <v>-147.05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Y58"/>
  <sheetViews>
    <sheetView workbookViewId="0">
      <selection activeCell="A1" sqref="A1"/>
    </sheetView>
  </sheetViews>
  <sheetFormatPr baseColWidth="8" defaultRowHeight="15"/>
  <cols>
    <col width="4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</cols>
  <sheetData>
    <row r="1">
      <c r="A1" s="1" t="inlineStr">
        <is>
          <t>Cas 7 — Autobus urbain 12 m BEV — vie complète 16 ans (avant PAGTCP/FTCZE)</t>
        </is>
      </c>
    </row>
    <row r="3">
      <c r="A3" s="2" t="inlineStr">
        <is>
          <t>Entrées du cas (constantes, depuis docs/tco-cas-de-reference.json)</t>
        </is>
      </c>
    </row>
    <row r="4">
      <c r="A4" t="inlineStr">
        <is>
          <t>Horizon H (années)</t>
        </is>
      </c>
      <c r="B4" s="3" t="n">
        <v>16</v>
      </c>
      <c r="C4" t="inlineStr">
        <is>
          <t>ans</t>
        </is>
      </c>
    </row>
    <row r="5">
      <c r="A5" t="inlineStr">
        <is>
          <t>Kilométrage annuel</t>
        </is>
      </c>
      <c r="B5" s="3" t="n">
        <v>60000</v>
      </c>
      <c r="C5" t="inlineStr">
        <is>
          <t>km/an</t>
        </is>
      </c>
    </row>
    <row r="6">
      <c r="A6" t="inlineStr">
        <is>
          <t>Prix réf (diesel) avant taxes</t>
        </is>
      </c>
      <c r="B6" s="3" t="n">
        <v>750000</v>
      </c>
      <c r="C6" t="inlineStr">
        <is>
          <t>$</t>
        </is>
      </c>
    </row>
    <row r="7">
      <c r="A7" t="inlineStr">
        <is>
          <t>Conso réf</t>
        </is>
      </c>
      <c r="B7" s="3" t="n">
        <v>45</v>
      </c>
      <c r="C7" t="inlineStr">
        <is>
          <t>L/100 km</t>
        </is>
      </c>
    </row>
    <row r="8">
      <c r="A8" t="inlineStr">
        <is>
          <t>Entretien réf</t>
        </is>
      </c>
      <c r="B8" s="3" t="n">
        <v>0.95</v>
      </c>
      <c r="C8" t="inlineStr">
        <is>
          <t>$/km</t>
        </is>
      </c>
    </row>
    <row r="9">
      <c r="A9" t="inlineStr">
        <is>
          <t>Prix alt avant taxes</t>
        </is>
      </c>
      <c r="B9" s="3" t="n">
        <v>1720000</v>
      </c>
      <c r="C9" t="inlineStr">
        <is>
          <t>$</t>
        </is>
      </c>
    </row>
    <row r="10">
      <c r="A10" t="inlineStr">
        <is>
          <t>Conso alt (nominale tempérée)</t>
        </is>
      </c>
      <c r="B10" s="3" t="n">
        <v>140</v>
      </c>
      <c r="C10" t="inlineStr">
        <is>
          <t>kWh/100 km</t>
        </is>
      </c>
    </row>
    <row r="11">
      <c r="A11" t="inlineStr">
        <is>
          <t>Entretien alt</t>
        </is>
      </c>
      <c r="B11" s="3" t="n">
        <v>0.7</v>
      </c>
      <c r="C11" t="inlineStr">
        <is>
          <t>$/km</t>
        </is>
      </c>
    </row>
    <row r="12">
      <c r="A12" t="inlineStr">
        <is>
          <t>Subvention (montant)</t>
        </is>
      </c>
      <c r="B12" s="3" t="n">
        <v>0</v>
      </c>
      <c r="C12" t="inlineStr">
        <is>
          <t>$</t>
        </is>
      </c>
    </row>
    <row r="13">
      <c r="A13" t="inlineStr">
        <is>
          <t>Subvention (année de versement)</t>
        </is>
      </c>
      <c r="B13" s="3" t="n">
        <v>1</v>
      </c>
      <c r="C13" t="inlineStr">
        <is>
          <t>année</t>
        </is>
      </c>
    </row>
    <row r="14">
      <c r="A14" t="inlineStr">
        <is>
          <t>Infra — capex avant taxes</t>
        </is>
      </c>
      <c r="B14" s="3" t="n">
        <v>250000</v>
      </c>
      <c r="C14" t="inlineStr">
        <is>
          <t>$</t>
        </is>
      </c>
    </row>
    <row r="15">
      <c r="A15" t="inlineStr">
        <is>
          <t>FE diesel TTW (choix catégorie)</t>
        </is>
      </c>
      <c r="B15" s="4">
        <f>fe_lourd</f>
        <v/>
      </c>
      <c r="C15" t="inlineStr">
        <is>
          <t>kg CO2e/L</t>
        </is>
      </c>
    </row>
    <row r="17">
      <c r="A17" s="2" t="inlineStr">
        <is>
          <t>Valeurs dérivées (formules)</t>
        </is>
      </c>
    </row>
    <row r="18">
      <c r="A18" t="inlineStr">
        <is>
          <t>Prix réf avec taxes non récupérables</t>
        </is>
      </c>
      <c r="B18" s="4">
        <f>$B$6*(1+taux_taxes)</f>
        <v/>
      </c>
    </row>
    <row r="19">
      <c r="A19" t="inlineStr">
        <is>
          <t>Prix alt avec taxes non récupérables</t>
        </is>
      </c>
      <c r="B19" s="4">
        <f>$B$9*(1+taux_taxes)</f>
        <v/>
      </c>
    </row>
    <row r="20">
      <c r="A20" t="inlineStr">
        <is>
          <t>Infra avec taxes non récupérables</t>
        </is>
      </c>
      <c r="B20" s="4">
        <f>$B$14*(1+taux_taxes)</f>
        <v/>
      </c>
    </row>
    <row r="21">
      <c r="A21" t="inlineStr">
        <is>
          <t>Conso alt facturée (compteur ou pompe) /100 km</t>
        </is>
      </c>
      <c r="B21" s="4">
        <f>$B$10*fact_hiver/rendement</f>
        <v/>
      </c>
    </row>
    <row r="22">
      <c r="A22" t="inlineStr">
        <is>
          <t>VR réf fin d'horizon (avant taxes, nominale, géométrique planchée)</t>
        </is>
      </c>
      <c r="B22" s="4">
        <f>MAX($B$6*(1-d_diesel)^$B$4,plancher_vr*$B$6)</f>
        <v/>
      </c>
    </row>
    <row r="23">
      <c r="A23" t="inlineStr">
        <is>
          <t>VR alt fin d'horizon (avant taxes, nominale, géométrique planchée)</t>
        </is>
      </c>
      <c r="B23" s="4">
        <f>MAX($B$9*(1-d_bev)^$B$4,plancher_vr*$B$9)</f>
        <v/>
      </c>
    </row>
    <row r="24">
      <c r="A24" t="inlineStr">
        <is>
          <t>Année de ré-achat de l'infra (vide si aucun)</t>
        </is>
      </c>
      <c r="B24" s="4">
        <f>IF(AND($B$14&gt;0,$B$4&gt;duree_vie_infra),duree_vie_infra,"")</f>
        <v/>
      </c>
    </row>
    <row r="25">
      <c r="A25" t="inlineStr">
        <is>
          <t>VR infra fin d'horizon (linéaire, dernier équipement, capex indexé)</t>
        </is>
      </c>
      <c r="B25" s="4">
        <f>IF($B$14=0,0,IF($B$4&gt;duree_vie_infra,$B$14*(1+g_general)^duree_vie_infra*(duree_vie_infra-($B$4-duree_vie_infra))/duree_vie_infra,$B$14*(duree_vie_infra-$B$4)/duree_vie_infra))</f>
        <v/>
      </c>
    </row>
    <row r="28">
      <c r="A28" s="2" t="inlineStr">
        <is>
          <t>n</t>
        </is>
      </c>
      <c r="B28" s="2" t="inlineStr">
        <is>
          <t>Acquisition alt</t>
        </is>
      </c>
      <c r="C28" s="2" t="inlineStr">
        <is>
          <t>Subventions</t>
        </is>
      </c>
      <c r="D28" s="2" t="inlineStr">
        <is>
          <t>Énergie alt</t>
        </is>
      </c>
      <c r="E28" s="2" t="inlineStr">
        <is>
          <t>Entretien alt</t>
        </is>
      </c>
      <c r="F28" s="2" t="inlineStr">
        <is>
          <t>Opex infra</t>
        </is>
      </c>
      <c r="G28" s="2" t="inlineStr">
        <is>
          <t>Résiduels alt</t>
        </is>
      </c>
      <c r="H28" s="2" t="inlineStr">
        <is>
          <t>Flux net alt</t>
        </is>
      </c>
      <c r="I28" s="2" t="inlineStr">
        <is>
          <t>Acquisition réf</t>
        </is>
      </c>
      <c r="J28" s="2" t="inlineStr">
        <is>
          <t>Énergie réf</t>
        </is>
      </c>
      <c r="K28" s="2" t="inlineStr">
        <is>
          <t>Entretien réf</t>
        </is>
      </c>
      <c r="L28" s="2" t="inlineStr">
        <is>
          <t>Résiduels réf</t>
        </is>
      </c>
      <c r="M28" s="2" t="inlineStr">
        <is>
          <t>Flux net réf</t>
        </is>
      </c>
      <c r="N28" s="2" t="inlineStr">
        <is>
          <t>Économie nominale</t>
        </is>
      </c>
      <c r="O28" s="2" t="inlineStr">
        <is>
          <t>Facteur actualisation</t>
        </is>
      </c>
      <c r="P28" s="2" t="inlineStr">
        <is>
          <t>Flux act. alt</t>
        </is>
      </c>
      <c r="Q28" s="2" t="inlineStr">
        <is>
          <t>Flux act. réf</t>
        </is>
      </c>
      <c r="R28" s="2" t="inlineStr">
        <is>
          <t>Cumul économie nominale</t>
        </is>
      </c>
      <c r="S28" s="2" t="inlineStr">
        <is>
          <t>Cumul économie actualisée</t>
        </is>
      </c>
      <c r="T28" s="2" t="inlineStr">
        <is>
          <t>km actualisés</t>
        </is>
      </c>
      <c r="U28" s="2" t="inlineStr">
        <is>
          <t>n si cumul nominal &gt;= 0</t>
        </is>
      </c>
      <c r="V28" s="2" t="inlineStr">
        <is>
          <t>n si cumul actualisé &gt;= 0</t>
        </is>
      </c>
      <c r="W28" s="2" t="inlineStr">
        <is>
          <t>TTW réf (t)</t>
        </is>
      </c>
      <c r="X28" s="2" t="inlineStr">
        <is>
          <t>WTW réf (t)</t>
        </is>
      </c>
      <c r="Y28" s="2" t="inlineStr">
        <is>
          <t>WTW alt (t)</t>
        </is>
      </c>
    </row>
    <row r="29">
      <c r="A29" t="n">
        <v>0</v>
      </c>
      <c r="B29" s="5">
        <f>IF(A29=0,$B$19+$B$20,IF(A29=$B$24,$B$14*(1+g_general)^A29*(1+taux_taxes),0))</f>
        <v/>
      </c>
      <c r="C29" s="5">
        <f>IF(A29=$B$13,$B$12,0)</f>
        <v/>
      </c>
      <c r="D29" s="5">
        <f>IF(A29=0,0,$B$5*$B$21/100*prix_elec*(1+g_elec)^A29*(1+taux_taxes))</f>
        <v/>
      </c>
      <c r="E29" s="5">
        <f>IF(A29=0,0,$B$5*$B$11*(1+g_entretien)^A29*(1+taux_taxes))</f>
        <v/>
      </c>
      <c r="F29" s="5">
        <f>IF(A29=0,0,infra_entretien_pct*$B$14*(1+g_entretien)^A29*(1+taux_taxes))</f>
        <v/>
      </c>
      <c r="G29" s="5">
        <f>IF(A29=$B$4,$B$23+$B$25,0)</f>
        <v/>
      </c>
      <c r="H29" s="5">
        <f>B29-C29+D29+E29+F29-G29</f>
        <v/>
      </c>
      <c r="I29" s="5">
        <f>IF(A29=0,$B$18,0)</f>
        <v/>
      </c>
      <c r="J29" s="5">
        <f>IF(A29=0,0,$B$5*$B$7/100*prix_diesel*(1+g_diesel)^A29*(1+taux_taxes))</f>
        <v/>
      </c>
      <c r="K29" s="5">
        <f>IF(A29=0,0,$B$5*$B$8*(1+g_entretien)^A29*(1+taux_taxes))</f>
        <v/>
      </c>
      <c r="L29" s="5">
        <f>IF(A29=$B$4,$B$22,0)</f>
        <v/>
      </c>
      <c r="M29" s="5">
        <f>I29+J29+K29-L29</f>
        <v/>
      </c>
      <c r="N29" s="5">
        <f>M29-H29</f>
        <v/>
      </c>
      <c r="O29" s="5">
        <f>1/(1+taux_r)^A29</f>
        <v/>
      </c>
      <c r="P29" s="5">
        <f>H29*O29</f>
        <v/>
      </c>
      <c r="Q29" s="5">
        <f>M29*O29</f>
        <v/>
      </c>
      <c r="R29" s="5">
        <f>N29</f>
        <v/>
      </c>
      <c r="S29" s="5">
        <f>N29*O29</f>
        <v/>
      </c>
      <c r="T29" s="5">
        <f>IF(A29=0,0,$B$5*O29)</f>
        <v/>
      </c>
      <c r="U29" s="6">
        <f>IF(R29&gt;=0,A29,"")</f>
        <v/>
      </c>
      <c r="V29" s="6">
        <f>IF(S29&gt;=0,A29,"")</f>
        <v/>
      </c>
      <c r="W29" s="6">
        <f>IF(A29=0,0,$B$5*$B$7/100*$B$15/1000)</f>
        <v/>
      </c>
      <c r="X29" s="6">
        <f>W29*ratio_wtw</f>
        <v/>
      </c>
      <c r="Y29" s="6">
        <f>IF(A29=0,0,$B$5*$B$21/100*fe_elec/1000000)</f>
        <v/>
      </c>
    </row>
    <row r="30">
      <c r="A30">
        <f>A29+1</f>
        <v/>
      </c>
      <c r="B30" s="5">
        <f>IF(A30=0,$B$19+$B$20,IF(A30=$B$24,$B$14*(1+g_general)^A30*(1+taux_taxes),0))</f>
        <v/>
      </c>
      <c r="C30" s="5">
        <f>IF(A30=$B$13,$B$12,0)</f>
        <v/>
      </c>
      <c r="D30" s="5">
        <f>IF(A30=0,0,$B$5*$B$21/100*prix_elec*(1+g_elec)^A30*(1+taux_taxes))</f>
        <v/>
      </c>
      <c r="E30" s="5">
        <f>IF(A30=0,0,$B$5*$B$11*(1+g_entretien)^A30*(1+taux_taxes))</f>
        <v/>
      </c>
      <c r="F30" s="5">
        <f>IF(A30=0,0,infra_entretien_pct*$B$14*(1+g_entretien)^A30*(1+taux_taxes))</f>
        <v/>
      </c>
      <c r="G30" s="5">
        <f>IF(A30=$B$4,$B$23+$B$25,0)</f>
        <v/>
      </c>
      <c r="H30" s="5">
        <f>B30-C30+D30+E30+F30-G30</f>
        <v/>
      </c>
      <c r="I30" s="5">
        <f>IF(A30=0,$B$18,0)</f>
        <v/>
      </c>
      <c r="J30" s="5">
        <f>IF(A30=0,0,$B$5*$B$7/100*prix_diesel*(1+g_diesel)^A30*(1+taux_taxes))</f>
        <v/>
      </c>
      <c r="K30" s="5">
        <f>IF(A30=0,0,$B$5*$B$8*(1+g_entretien)^A30*(1+taux_taxes))</f>
        <v/>
      </c>
      <c r="L30" s="5">
        <f>IF(A30=$B$4,$B$22,0)</f>
        <v/>
      </c>
      <c r="M30" s="5">
        <f>I30+J30+K30-L30</f>
        <v/>
      </c>
      <c r="N30" s="5">
        <f>M30-H30</f>
        <v/>
      </c>
      <c r="O30" s="5">
        <f>1/(1+taux_r)^A30</f>
        <v/>
      </c>
      <c r="P30" s="5">
        <f>H30*O30</f>
        <v/>
      </c>
      <c r="Q30" s="5">
        <f>M30*O30</f>
        <v/>
      </c>
      <c r="R30" s="5">
        <f>R29+N30</f>
        <v/>
      </c>
      <c r="S30" s="5">
        <f>S29+N30*O30</f>
        <v/>
      </c>
      <c r="T30" s="5">
        <f>IF(A30=0,0,$B$5*O30)</f>
        <v/>
      </c>
      <c r="U30" s="6">
        <f>IF(R30&gt;=0,A30,"")</f>
        <v/>
      </c>
      <c r="V30" s="6">
        <f>IF(S30&gt;=0,A30,"")</f>
        <v/>
      </c>
      <c r="W30" s="6">
        <f>IF(A30=0,0,$B$5*$B$7/100*$B$15/1000)</f>
        <v/>
      </c>
      <c r="X30" s="6">
        <f>W30*ratio_wtw</f>
        <v/>
      </c>
      <c r="Y30" s="6">
        <f>IF(A30=0,0,$B$5*$B$21/100*fe_elec/1000000)</f>
        <v/>
      </c>
    </row>
    <row r="31">
      <c r="A31">
        <f>A30+1</f>
        <v/>
      </c>
      <c r="B31" s="5">
        <f>IF(A31=0,$B$19+$B$20,IF(A31=$B$24,$B$14*(1+g_general)^A31*(1+taux_taxes),0))</f>
        <v/>
      </c>
      <c r="C31" s="5">
        <f>IF(A31=$B$13,$B$12,0)</f>
        <v/>
      </c>
      <c r="D31" s="5">
        <f>IF(A31=0,0,$B$5*$B$21/100*prix_elec*(1+g_elec)^A31*(1+taux_taxes))</f>
        <v/>
      </c>
      <c r="E31" s="5">
        <f>IF(A31=0,0,$B$5*$B$11*(1+g_entretien)^A31*(1+taux_taxes))</f>
        <v/>
      </c>
      <c r="F31" s="5">
        <f>IF(A31=0,0,infra_entretien_pct*$B$14*(1+g_entretien)^A31*(1+taux_taxes))</f>
        <v/>
      </c>
      <c r="G31" s="5">
        <f>IF(A31=$B$4,$B$23+$B$25,0)</f>
        <v/>
      </c>
      <c r="H31" s="5">
        <f>B31-C31+D31+E31+F31-G31</f>
        <v/>
      </c>
      <c r="I31" s="5">
        <f>IF(A31=0,$B$18,0)</f>
        <v/>
      </c>
      <c r="J31" s="5">
        <f>IF(A31=0,0,$B$5*$B$7/100*prix_diesel*(1+g_diesel)^A31*(1+taux_taxes))</f>
        <v/>
      </c>
      <c r="K31" s="5">
        <f>IF(A31=0,0,$B$5*$B$8*(1+g_entretien)^A31*(1+taux_taxes))</f>
        <v/>
      </c>
      <c r="L31" s="5">
        <f>IF(A31=$B$4,$B$22,0)</f>
        <v/>
      </c>
      <c r="M31" s="5">
        <f>I31+J31+K31-L31</f>
        <v/>
      </c>
      <c r="N31" s="5">
        <f>M31-H31</f>
        <v/>
      </c>
      <c r="O31" s="5">
        <f>1/(1+taux_r)^A31</f>
        <v/>
      </c>
      <c r="P31" s="5">
        <f>H31*O31</f>
        <v/>
      </c>
      <c r="Q31" s="5">
        <f>M31*O31</f>
        <v/>
      </c>
      <c r="R31" s="5">
        <f>R30+N31</f>
        <v/>
      </c>
      <c r="S31" s="5">
        <f>S30+N31*O31</f>
        <v/>
      </c>
      <c r="T31" s="5">
        <f>IF(A31=0,0,$B$5*O31)</f>
        <v/>
      </c>
      <c r="U31" s="6">
        <f>IF(R31&gt;=0,A31,"")</f>
        <v/>
      </c>
      <c r="V31" s="6">
        <f>IF(S31&gt;=0,A31,"")</f>
        <v/>
      </c>
      <c r="W31" s="6">
        <f>IF(A31=0,0,$B$5*$B$7/100*$B$15/1000)</f>
        <v/>
      </c>
      <c r="X31" s="6">
        <f>W31*ratio_wtw</f>
        <v/>
      </c>
      <c r="Y31" s="6">
        <f>IF(A31=0,0,$B$5*$B$21/100*fe_elec/1000000)</f>
        <v/>
      </c>
    </row>
    <row r="32">
      <c r="A32">
        <f>A31+1</f>
        <v/>
      </c>
      <c r="B32" s="5">
        <f>IF(A32=0,$B$19+$B$20,IF(A32=$B$24,$B$14*(1+g_general)^A32*(1+taux_taxes),0))</f>
        <v/>
      </c>
      <c r="C32" s="5">
        <f>IF(A32=$B$13,$B$12,0)</f>
        <v/>
      </c>
      <c r="D32" s="5">
        <f>IF(A32=0,0,$B$5*$B$21/100*prix_elec*(1+g_elec)^A32*(1+taux_taxes))</f>
        <v/>
      </c>
      <c r="E32" s="5">
        <f>IF(A32=0,0,$B$5*$B$11*(1+g_entretien)^A32*(1+taux_taxes))</f>
        <v/>
      </c>
      <c r="F32" s="5">
        <f>IF(A32=0,0,infra_entretien_pct*$B$14*(1+g_entretien)^A32*(1+taux_taxes))</f>
        <v/>
      </c>
      <c r="G32" s="5">
        <f>IF(A32=$B$4,$B$23+$B$25,0)</f>
        <v/>
      </c>
      <c r="H32" s="5">
        <f>B32-C32+D32+E32+F32-G32</f>
        <v/>
      </c>
      <c r="I32" s="5">
        <f>IF(A32=0,$B$18,0)</f>
        <v/>
      </c>
      <c r="J32" s="5">
        <f>IF(A32=0,0,$B$5*$B$7/100*prix_diesel*(1+g_diesel)^A32*(1+taux_taxes))</f>
        <v/>
      </c>
      <c r="K32" s="5">
        <f>IF(A32=0,0,$B$5*$B$8*(1+g_entretien)^A32*(1+taux_taxes))</f>
        <v/>
      </c>
      <c r="L32" s="5">
        <f>IF(A32=$B$4,$B$22,0)</f>
        <v/>
      </c>
      <c r="M32" s="5">
        <f>I32+J32+K32-L32</f>
        <v/>
      </c>
      <c r="N32" s="5">
        <f>M32-H32</f>
        <v/>
      </c>
      <c r="O32" s="5">
        <f>1/(1+taux_r)^A32</f>
        <v/>
      </c>
      <c r="P32" s="5">
        <f>H32*O32</f>
        <v/>
      </c>
      <c r="Q32" s="5">
        <f>M32*O32</f>
        <v/>
      </c>
      <c r="R32" s="5">
        <f>R31+N32</f>
        <v/>
      </c>
      <c r="S32" s="5">
        <f>S31+N32*O32</f>
        <v/>
      </c>
      <c r="T32" s="5">
        <f>IF(A32=0,0,$B$5*O32)</f>
        <v/>
      </c>
      <c r="U32" s="6">
        <f>IF(R32&gt;=0,A32,"")</f>
        <v/>
      </c>
      <c r="V32" s="6">
        <f>IF(S32&gt;=0,A32,"")</f>
        <v/>
      </c>
      <c r="W32" s="6">
        <f>IF(A32=0,0,$B$5*$B$7/100*$B$15/1000)</f>
        <v/>
      </c>
      <c r="X32" s="6">
        <f>W32*ratio_wtw</f>
        <v/>
      </c>
      <c r="Y32" s="6">
        <f>IF(A32=0,0,$B$5*$B$21/100*fe_elec/1000000)</f>
        <v/>
      </c>
    </row>
    <row r="33">
      <c r="A33">
        <f>A32+1</f>
        <v/>
      </c>
      <c r="B33" s="5">
        <f>IF(A33=0,$B$19+$B$20,IF(A33=$B$24,$B$14*(1+g_general)^A33*(1+taux_taxes),0))</f>
        <v/>
      </c>
      <c r="C33" s="5">
        <f>IF(A33=$B$13,$B$12,0)</f>
        <v/>
      </c>
      <c r="D33" s="5">
        <f>IF(A33=0,0,$B$5*$B$21/100*prix_elec*(1+g_elec)^A33*(1+taux_taxes))</f>
        <v/>
      </c>
      <c r="E33" s="5">
        <f>IF(A33=0,0,$B$5*$B$11*(1+g_entretien)^A33*(1+taux_taxes))</f>
        <v/>
      </c>
      <c r="F33" s="5">
        <f>IF(A33=0,0,infra_entretien_pct*$B$14*(1+g_entretien)^A33*(1+taux_taxes))</f>
        <v/>
      </c>
      <c r="G33" s="5">
        <f>IF(A33=$B$4,$B$23+$B$25,0)</f>
        <v/>
      </c>
      <c r="H33" s="5">
        <f>B33-C33+D33+E33+F33-G33</f>
        <v/>
      </c>
      <c r="I33" s="5">
        <f>IF(A33=0,$B$18,0)</f>
        <v/>
      </c>
      <c r="J33" s="5">
        <f>IF(A33=0,0,$B$5*$B$7/100*prix_diesel*(1+g_diesel)^A33*(1+taux_taxes))</f>
        <v/>
      </c>
      <c r="K33" s="5">
        <f>IF(A33=0,0,$B$5*$B$8*(1+g_entretien)^A33*(1+taux_taxes))</f>
        <v/>
      </c>
      <c r="L33" s="5">
        <f>IF(A33=$B$4,$B$22,0)</f>
        <v/>
      </c>
      <c r="M33" s="5">
        <f>I33+J33+K33-L33</f>
        <v/>
      </c>
      <c r="N33" s="5">
        <f>M33-H33</f>
        <v/>
      </c>
      <c r="O33" s="5">
        <f>1/(1+taux_r)^A33</f>
        <v/>
      </c>
      <c r="P33" s="5">
        <f>H33*O33</f>
        <v/>
      </c>
      <c r="Q33" s="5">
        <f>M33*O33</f>
        <v/>
      </c>
      <c r="R33" s="5">
        <f>R32+N33</f>
        <v/>
      </c>
      <c r="S33" s="5">
        <f>S32+N33*O33</f>
        <v/>
      </c>
      <c r="T33" s="5">
        <f>IF(A33=0,0,$B$5*O33)</f>
        <v/>
      </c>
      <c r="U33" s="6">
        <f>IF(R33&gt;=0,A33,"")</f>
        <v/>
      </c>
      <c r="V33" s="6">
        <f>IF(S33&gt;=0,A33,"")</f>
        <v/>
      </c>
      <c r="W33" s="6">
        <f>IF(A33=0,0,$B$5*$B$7/100*$B$15/1000)</f>
        <v/>
      </c>
      <c r="X33" s="6">
        <f>W33*ratio_wtw</f>
        <v/>
      </c>
      <c r="Y33" s="6">
        <f>IF(A33=0,0,$B$5*$B$21/100*fe_elec/1000000)</f>
        <v/>
      </c>
    </row>
    <row r="34">
      <c r="A34">
        <f>A33+1</f>
        <v/>
      </c>
      <c r="B34" s="5">
        <f>IF(A34=0,$B$19+$B$20,IF(A34=$B$24,$B$14*(1+g_general)^A34*(1+taux_taxes),0))</f>
        <v/>
      </c>
      <c r="C34" s="5">
        <f>IF(A34=$B$13,$B$12,0)</f>
        <v/>
      </c>
      <c r="D34" s="5">
        <f>IF(A34=0,0,$B$5*$B$21/100*prix_elec*(1+g_elec)^A34*(1+taux_taxes))</f>
        <v/>
      </c>
      <c r="E34" s="5">
        <f>IF(A34=0,0,$B$5*$B$11*(1+g_entretien)^A34*(1+taux_taxes))</f>
        <v/>
      </c>
      <c r="F34" s="5">
        <f>IF(A34=0,0,infra_entretien_pct*$B$14*(1+g_entretien)^A34*(1+taux_taxes))</f>
        <v/>
      </c>
      <c r="G34" s="5">
        <f>IF(A34=$B$4,$B$23+$B$25,0)</f>
        <v/>
      </c>
      <c r="H34" s="5">
        <f>B34-C34+D34+E34+F34-G34</f>
        <v/>
      </c>
      <c r="I34" s="5">
        <f>IF(A34=0,$B$18,0)</f>
        <v/>
      </c>
      <c r="J34" s="5">
        <f>IF(A34=0,0,$B$5*$B$7/100*prix_diesel*(1+g_diesel)^A34*(1+taux_taxes))</f>
        <v/>
      </c>
      <c r="K34" s="5">
        <f>IF(A34=0,0,$B$5*$B$8*(1+g_entretien)^A34*(1+taux_taxes))</f>
        <v/>
      </c>
      <c r="L34" s="5">
        <f>IF(A34=$B$4,$B$22,0)</f>
        <v/>
      </c>
      <c r="M34" s="5">
        <f>I34+J34+K34-L34</f>
        <v/>
      </c>
      <c r="N34" s="5">
        <f>M34-H34</f>
        <v/>
      </c>
      <c r="O34" s="5">
        <f>1/(1+taux_r)^A34</f>
        <v/>
      </c>
      <c r="P34" s="5">
        <f>H34*O34</f>
        <v/>
      </c>
      <c r="Q34" s="5">
        <f>M34*O34</f>
        <v/>
      </c>
      <c r="R34" s="5">
        <f>R33+N34</f>
        <v/>
      </c>
      <c r="S34" s="5">
        <f>S33+N34*O34</f>
        <v/>
      </c>
      <c r="T34" s="5">
        <f>IF(A34=0,0,$B$5*O34)</f>
        <v/>
      </c>
      <c r="U34" s="6">
        <f>IF(R34&gt;=0,A34,"")</f>
        <v/>
      </c>
      <c r="V34" s="6">
        <f>IF(S34&gt;=0,A34,"")</f>
        <v/>
      </c>
      <c r="W34" s="6">
        <f>IF(A34=0,0,$B$5*$B$7/100*$B$15/1000)</f>
        <v/>
      </c>
      <c r="X34" s="6">
        <f>W34*ratio_wtw</f>
        <v/>
      </c>
      <c r="Y34" s="6">
        <f>IF(A34=0,0,$B$5*$B$21/100*fe_elec/1000000)</f>
        <v/>
      </c>
    </row>
    <row r="35">
      <c r="A35">
        <f>A34+1</f>
        <v/>
      </c>
      <c r="B35" s="5">
        <f>IF(A35=0,$B$19+$B$20,IF(A35=$B$24,$B$14*(1+g_general)^A35*(1+taux_taxes),0))</f>
        <v/>
      </c>
      <c r="C35" s="5">
        <f>IF(A35=$B$13,$B$12,0)</f>
        <v/>
      </c>
      <c r="D35" s="5">
        <f>IF(A35=0,0,$B$5*$B$21/100*prix_elec*(1+g_elec)^A35*(1+taux_taxes))</f>
        <v/>
      </c>
      <c r="E35" s="5">
        <f>IF(A35=0,0,$B$5*$B$11*(1+g_entretien)^A35*(1+taux_taxes))</f>
        <v/>
      </c>
      <c r="F35" s="5">
        <f>IF(A35=0,0,infra_entretien_pct*$B$14*(1+g_entretien)^A35*(1+taux_taxes))</f>
        <v/>
      </c>
      <c r="G35" s="5">
        <f>IF(A35=$B$4,$B$23+$B$25,0)</f>
        <v/>
      </c>
      <c r="H35" s="5">
        <f>B35-C35+D35+E35+F35-G35</f>
        <v/>
      </c>
      <c r="I35" s="5">
        <f>IF(A35=0,$B$18,0)</f>
        <v/>
      </c>
      <c r="J35" s="5">
        <f>IF(A35=0,0,$B$5*$B$7/100*prix_diesel*(1+g_diesel)^A35*(1+taux_taxes))</f>
        <v/>
      </c>
      <c r="K35" s="5">
        <f>IF(A35=0,0,$B$5*$B$8*(1+g_entretien)^A35*(1+taux_taxes))</f>
        <v/>
      </c>
      <c r="L35" s="5">
        <f>IF(A35=$B$4,$B$22,0)</f>
        <v/>
      </c>
      <c r="M35" s="5">
        <f>I35+J35+K35-L35</f>
        <v/>
      </c>
      <c r="N35" s="5">
        <f>M35-H35</f>
        <v/>
      </c>
      <c r="O35" s="5">
        <f>1/(1+taux_r)^A35</f>
        <v/>
      </c>
      <c r="P35" s="5">
        <f>H35*O35</f>
        <v/>
      </c>
      <c r="Q35" s="5">
        <f>M35*O35</f>
        <v/>
      </c>
      <c r="R35" s="5">
        <f>R34+N35</f>
        <v/>
      </c>
      <c r="S35" s="5">
        <f>S34+N35*O35</f>
        <v/>
      </c>
      <c r="T35" s="5">
        <f>IF(A35=0,0,$B$5*O35)</f>
        <v/>
      </c>
      <c r="U35" s="6">
        <f>IF(R35&gt;=0,A35,"")</f>
        <v/>
      </c>
      <c r="V35" s="6">
        <f>IF(S35&gt;=0,A35,"")</f>
        <v/>
      </c>
      <c r="W35" s="6">
        <f>IF(A35=0,0,$B$5*$B$7/100*$B$15/1000)</f>
        <v/>
      </c>
      <c r="X35" s="6">
        <f>W35*ratio_wtw</f>
        <v/>
      </c>
      <c r="Y35" s="6">
        <f>IF(A35=0,0,$B$5*$B$21/100*fe_elec/1000000)</f>
        <v/>
      </c>
    </row>
    <row r="36">
      <c r="A36">
        <f>A35+1</f>
        <v/>
      </c>
      <c r="B36" s="5">
        <f>IF(A36=0,$B$19+$B$20,IF(A36=$B$24,$B$14*(1+g_general)^A36*(1+taux_taxes),0))</f>
        <v/>
      </c>
      <c r="C36" s="5">
        <f>IF(A36=$B$13,$B$12,0)</f>
        <v/>
      </c>
      <c r="D36" s="5">
        <f>IF(A36=0,0,$B$5*$B$21/100*prix_elec*(1+g_elec)^A36*(1+taux_taxes))</f>
        <v/>
      </c>
      <c r="E36" s="5">
        <f>IF(A36=0,0,$B$5*$B$11*(1+g_entretien)^A36*(1+taux_taxes))</f>
        <v/>
      </c>
      <c r="F36" s="5">
        <f>IF(A36=0,0,infra_entretien_pct*$B$14*(1+g_entretien)^A36*(1+taux_taxes))</f>
        <v/>
      </c>
      <c r="G36" s="5">
        <f>IF(A36=$B$4,$B$23+$B$25,0)</f>
        <v/>
      </c>
      <c r="H36" s="5">
        <f>B36-C36+D36+E36+F36-G36</f>
        <v/>
      </c>
      <c r="I36" s="5">
        <f>IF(A36=0,$B$18,0)</f>
        <v/>
      </c>
      <c r="J36" s="5">
        <f>IF(A36=0,0,$B$5*$B$7/100*prix_diesel*(1+g_diesel)^A36*(1+taux_taxes))</f>
        <v/>
      </c>
      <c r="K36" s="5">
        <f>IF(A36=0,0,$B$5*$B$8*(1+g_entretien)^A36*(1+taux_taxes))</f>
        <v/>
      </c>
      <c r="L36" s="5">
        <f>IF(A36=$B$4,$B$22,0)</f>
        <v/>
      </c>
      <c r="M36" s="5">
        <f>I36+J36+K36-L36</f>
        <v/>
      </c>
      <c r="N36" s="5">
        <f>M36-H36</f>
        <v/>
      </c>
      <c r="O36" s="5">
        <f>1/(1+taux_r)^A36</f>
        <v/>
      </c>
      <c r="P36" s="5">
        <f>H36*O36</f>
        <v/>
      </c>
      <c r="Q36" s="5">
        <f>M36*O36</f>
        <v/>
      </c>
      <c r="R36" s="5">
        <f>R35+N36</f>
        <v/>
      </c>
      <c r="S36" s="5">
        <f>S35+N36*O36</f>
        <v/>
      </c>
      <c r="T36" s="5">
        <f>IF(A36=0,0,$B$5*O36)</f>
        <v/>
      </c>
      <c r="U36" s="6">
        <f>IF(R36&gt;=0,A36,"")</f>
        <v/>
      </c>
      <c r="V36" s="6">
        <f>IF(S36&gt;=0,A36,"")</f>
        <v/>
      </c>
      <c r="W36" s="6">
        <f>IF(A36=0,0,$B$5*$B$7/100*$B$15/1000)</f>
        <v/>
      </c>
      <c r="X36" s="6">
        <f>W36*ratio_wtw</f>
        <v/>
      </c>
      <c r="Y36" s="6">
        <f>IF(A36=0,0,$B$5*$B$21/100*fe_elec/1000000)</f>
        <v/>
      </c>
    </row>
    <row r="37">
      <c r="A37">
        <f>A36+1</f>
        <v/>
      </c>
      <c r="B37" s="5">
        <f>IF(A37=0,$B$19+$B$20,IF(A37=$B$24,$B$14*(1+g_general)^A37*(1+taux_taxes),0))</f>
        <v/>
      </c>
      <c r="C37" s="5">
        <f>IF(A37=$B$13,$B$12,0)</f>
        <v/>
      </c>
      <c r="D37" s="5">
        <f>IF(A37=0,0,$B$5*$B$21/100*prix_elec*(1+g_elec)^A37*(1+taux_taxes))</f>
        <v/>
      </c>
      <c r="E37" s="5">
        <f>IF(A37=0,0,$B$5*$B$11*(1+g_entretien)^A37*(1+taux_taxes))</f>
        <v/>
      </c>
      <c r="F37" s="5">
        <f>IF(A37=0,0,infra_entretien_pct*$B$14*(1+g_entretien)^A37*(1+taux_taxes))</f>
        <v/>
      </c>
      <c r="G37" s="5">
        <f>IF(A37=$B$4,$B$23+$B$25,0)</f>
        <v/>
      </c>
      <c r="H37" s="5">
        <f>B37-C37+D37+E37+F37-G37</f>
        <v/>
      </c>
      <c r="I37" s="5">
        <f>IF(A37=0,$B$18,0)</f>
        <v/>
      </c>
      <c r="J37" s="5">
        <f>IF(A37=0,0,$B$5*$B$7/100*prix_diesel*(1+g_diesel)^A37*(1+taux_taxes))</f>
        <v/>
      </c>
      <c r="K37" s="5">
        <f>IF(A37=0,0,$B$5*$B$8*(1+g_entretien)^A37*(1+taux_taxes))</f>
        <v/>
      </c>
      <c r="L37" s="5">
        <f>IF(A37=$B$4,$B$22,0)</f>
        <v/>
      </c>
      <c r="M37" s="5">
        <f>I37+J37+K37-L37</f>
        <v/>
      </c>
      <c r="N37" s="5">
        <f>M37-H37</f>
        <v/>
      </c>
      <c r="O37" s="5">
        <f>1/(1+taux_r)^A37</f>
        <v/>
      </c>
      <c r="P37" s="5">
        <f>H37*O37</f>
        <v/>
      </c>
      <c r="Q37" s="5">
        <f>M37*O37</f>
        <v/>
      </c>
      <c r="R37" s="5">
        <f>R36+N37</f>
        <v/>
      </c>
      <c r="S37" s="5">
        <f>S36+N37*O37</f>
        <v/>
      </c>
      <c r="T37" s="5">
        <f>IF(A37=0,0,$B$5*O37)</f>
        <v/>
      </c>
      <c r="U37" s="6">
        <f>IF(R37&gt;=0,A37,"")</f>
        <v/>
      </c>
      <c r="V37" s="6">
        <f>IF(S37&gt;=0,A37,"")</f>
        <v/>
      </c>
      <c r="W37" s="6">
        <f>IF(A37=0,0,$B$5*$B$7/100*$B$15/1000)</f>
        <v/>
      </c>
      <c r="X37" s="6">
        <f>W37*ratio_wtw</f>
        <v/>
      </c>
      <c r="Y37" s="6">
        <f>IF(A37=0,0,$B$5*$B$21/100*fe_elec/1000000)</f>
        <v/>
      </c>
    </row>
    <row r="38">
      <c r="A38">
        <f>A37+1</f>
        <v/>
      </c>
      <c r="B38" s="5">
        <f>IF(A38=0,$B$19+$B$20,IF(A38=$B$24,$B$14*(1+g_general)^A38*(1+taux_taxes),0))</f>
        <v/>
      </c>
      <c r="C38" s="5">
        <f>IF(A38=$B$13,$B$12,0)</f>
        <v/>
      </c>
      <c r="D38" s="5">
        <f>IF(A38=0,0,$B$5*$B$21/100*prix_elec*(1+g_elec)^A38*(1+taux_taxes))</f>
        <v/>
      </c>
      <c r="E38" s="5">
        <f>IF(A38=0,0,$B$5*$B$11*(1+g_entretien)^A38*(1+taux_taxes))</f>
        <v/>
      </c>
      <c r="F38" s="5">
        <f>IF(A38=0,0,infra_entretien_pct*$B$14*(1+g_entretien)^A38*(1+taux_taxes))</f>
        <v/>
      </c>
      <c r="G38" s="5">
        <f>IF(A38=$B$4,$B$23+$B$25,0)</f>
        <v/>
      </c>
      <c r="H38" s="5">
        <f>B38-C38+D38+E38+F38-G38</f>
        <v/>
      </c>
      <c r="I38" s="5">
        <f>IF(A38=0,$B$18,0)</f>
        <v/>
      </c>
      <c r="J38" s="5">
        <f>IF(A38=0,0,$B$5*$B$7/100*prix_diesel*(1+g_diesel)^A38*(1+taux_taxes))</f>
        <v/>
      </c>
      <c r="K38" s="5">
        <f>IF(A38=0,0,$B$5*$B$8*(1+g_entretien)^A38*(1+taux_taxes))</f>
        <v/>
      </c>
      <c r="L38" s="5">
        <f>IF(A38=$B$4,$B$22,0)</f>
        <v/>
      </c>
      <c r="M38" s="5">
        <f>I38+J38+K38-L38</f>
        <v/>
      </c>
      <c r="N38" s="5">
        <f>M38-H38</f>
        <v/>
      </c>
      <c r="O38" s="5">
        <f>1/(1+taux_r)^A38</f>
        <v/>
      </c>
      <c r="P38" s="5">
        <f>H38*O38</f>
        <v/>
      </c>
      <c r="Q38" s="5">
        <f>M38*O38</f>
        <v/>
      </c>
      <c r="R38" s="5">
        <f>R37+N38</f>
        <v/>
      </c>
      <c r="S38" s="5">
        <f>S37+N38*O38</f>
        <v/>
      </c>
      <c r="T38" s="5">
        <f>IF(A38=0,0,$B$5*O38)</f>
        <v/>
      </c>
      <c r="U38" s="6">
        <f>IF(R38&gt;=0,A38,"")</f>
        <v/>
      </c>
      <c r="V38" s="6">
        <f>IF(S38&gt;=0,A38,"")</f>
        <v/>
      </c>
      <c r="W38" s="6">
        <f>IF(A38=0,0,$B$5*$B$7/100*$B$15/1000)</f>
        <v/>
      </c>
      <c r="X38" s="6">
        <f>W38*ratio_wtw</f>
        <v/>
      </c>
      <c r="Y38" s="6">
        <f>IF(A38=0,0,$B$5*$B$21/100*fe_elec/1000000)</f>
        <v/>
      </c>
    </row>
    <row r="39">
      <c r="A39">
        <f>A38+1</f>
        <v/>
      </c>
      <c r="B39" s="5">
        <f>IF(A39=0,$B$19+$B$20,IF(A39=$B$24,$B$14*(1+g_general)^A39*(1+taux_taxes),0))</f>
        <v/>
      </c>
      <c r="C39" s="5">
        <f>IF(A39=$B$13,$B$12,0)</f>
        <v/>
      </c>
      <c r="D39" s="5">
        <f>IF(A39=0,0,$B$5*$B$21/100*prix_elec*(1+g_elec)^A39*(1+taux_taxes))</f>
        <v/>
      </c>
      <c r="E39" s="5">
        <f>IF(A39=0,0,$B$5*$B$11*(1+g_entretien)^A39*(1+taux_taxes))</f>
        <v/>
      </c>
      <c r="F39" s="5">
        <f>IF(A39=0,0,infra_entretien_pct*$B$14*(1+g_entretien)^A39*(1+taux_taxes))</f>
        <v/>
      </c>
      <c r="G39" s="5">
        <f>IF(A39=$B$4,$B$23+$B$25,0)</f>
        <v/>
      </c>
      <c r="H39" s="5">
        <f>B39-C39+D39+E39+F39-G39</f>
        <v/>
      </c>
      <c r="I39" s="5">
        <f>IF(A39=0,$B$18,0)</f>
        <v/>
      </c>
      <c r="J39" s="5">
        <f>IF(A39=0,0,$B$5*$B$7/100*prix_diesel*(1+g_diesel)^A39*(1+taux_taxes))</f>
        <v/>
      </c>
      <c r="K39" s="5">
        <f>IF(A39=0,0,$B$5*$B$8*(1+g_entretien)^A39*(1+taux_taxes))</f>
        <v/>
      </c>
      <c r="L39" s="5">
        <f>IF(A39=$B$4,$B$22,0)</f>
        <v/>
      </c>
      <c r="M39" s="5">
        <f>I39+J39+K39-L39</f>
        <v/>
      </c>
      <c r="N39" s="5">
        <f>M39-H39</f>
        <v/>
      </c>
      <c r="O39" s="5">
        <f>1/(1+taux_r)^A39</f>
        <v/>
      </c>
      <c r="P39" s="5">
        <f>H39*O39</f>
        <v/>
      </c>
      <c r="Q39" s="5">
        <f>M39*O39</f>
        <v/>
      </c>
      <c r="R39" s="5">
        <f>R38+N39</f>
        <v/>
      </c>
      <c r="S39" s="5">
        <f>S38+N39*O39</f>
        <v/>
      </c>
      <c r="T39" s="5">
        <f>IF(A39=0,0,$B$5*O39)</f>
        <v/>
      </c>
      <c r="U39" s="6">
        <f>IF(R39&gt;=0,A39,"")</f>
        <v/>
      </c>
      <c r="V39" s="6">
        <f>IF(S39&gt;=0,A39,"")</f>
        <v/>
      </c>
      <c r="W39" s="6">
        <f>IF(A39=0,0,$B$5*$B$7/100*$B$15/1000)</f>
        <v/>
      </c>
      <c r="X39" s="6">
        <f>W39*ratio_wtw</f>
        <v/>
      </c>
      <c r="Y39" s="6">
        <f>IF(A39=0,0,$B$5*$B$21/100*fe_elec/1000000)</f>
        <v/>
      </c>
    </row>
    <row r="40">
      <c r="A40">
        <f>A39+1</f>
        <v/>
      </c>
      <c r="B40" s="5">
        <f>IF(A40=0,$B$19+$B$20,IF(A40=$B$24,$B$14*(1+g_general)^A40*(1+taux_taxes),0))</f>
        <v/>
      </c>
      <c r="C40" s="5">
        <f>IF(A40=$B$13,$B$12,0)</f>
        <v/>
      </c>
      <c r="D40" s="5">
        <f>IF(A40=0,0,$B$5*$B$21/100*prix_elec*(1+g_elec)^A40*(1+taux_taxes))</f>
        <v/>
      </c>
      <c r="E40" s="5">
        <f>IF(A40=0,0,$B$5*$B$11*(1+g_entretien)^A40*(1+taux_taxes))</f>
        <v/>
      </c>
      <c r="F40" s="5">
        <f>IF(A40=0,0,infra_entretien_pct*$B$14*(1+g_entretien)^A40*(1+taux_taxes))</f>
        <v/>
      </c>
      <c r="G40" s="5">
        <f>IF(A40=$B$4,$B$23+$B$25,0)</f>
        <v/>
      </c>
      <c r="H40" s="5">
        <f>B40-C40+D40+E40+F40-G40</f>
        <v/>
      </c>
      <c r="I40" s="5">
        <f>IF(A40=0,$B$18,0)</f>
        <v/>
      </c>
      <c r="J40" s="5">
        <f>IF(A40=0,0,$B$5*$B$7/100*prix_diesel*(1+g_diesel)^A40*(1+taux_taxes))</f>
        <v/>
      </c>
      <c r="K40" s="5">
        <f>IF(A40=0,0,$B$5*$B$8*(1+g_entretien)^A40*(1+taux_taxes))</f>
        <v/>
      </c>
      <c r="L40" s="5">
        <f>IF(A40=$B$4,$B$22,0)</f>
        <v/>
      </c>
      <c r="M40" s="5">
        <f>I40+J40+K40-L40</f>
        <v/>
      </c>
      <c r="N40" s="5">
        <f>M40-H40</f>
        <v/>
      </c>
      <c r="O40" s="5">
        <f>1/(1+taux_r)^A40</f>
        <v/>
      </c>
      <c r="P40" s="5">
        <f>H40*O40</f>
        <v/>
      </c>
      <c r="Q40" s="5">
        <f>M40*O40</f>
        <v/>
      </c>
      <c r="R40" s="5">
        <f>R39+N40</f>
        <v/>
      </c>
      <c r="S40" s="5">
        <f>S39+N40*O40</f>
        <v/>
      </c>
      <c r="T40" s="5">
        <f>IF(A40=0,0,$B$5*O40)</f>
        <v/>
      </c>
      <c r="U40" s="6">
        <f>IF(R40&gt;=0,A40,"")</f>
        <v/>
      </c>
      <c r="V40" s="6">
        <f>IF(S40&gt;=0,A40,"")</f>
        <v/>
      </c>
      <c r="W40" s="6">
        <f>IF(A40=0,0,$B$5*$B$7/100*$B$15/1000)</f>
        <v/>
      </c>
      <c r="X40" s="6">
        <f>W40*ratio_wtw</f>
        <v/>
      </c>
      <c r="Y40" s="6">
        <f>IF(A40=0,0,$B$5*$B$21/100*fe_elec/1000000)</f>
        <v/>
      </c>
    </row>
    <row r="41">
      <c r="A41">
        <f>A40+1</f>
        <v/>
      </c>
      <c r="B41" s="5">
        <f>IF(A41=0,$B$19+$B$20,IF(A41=$B$24,$B$14*(1+g_general)^A41*(1+taux_taxes),0))</f>
        <v/>
      </c>
      <c r="C41" s="5">
        <f>IF(A41=$B$13,$B$12,0)</f>
        <v/>
      </c>
      <c r="D41" s="5">
        <f>IF(A41=0,0,$B$5*$B$21/100*prix_elec*(1+g_elec)^A41*(1+taux_taxes))</f>
        <v/>
      </c>
      <c r="E41" s="5">
        <f>IF(A41=0,0,$B$5*$B$11*(1+g_entretien)^A41*(1+taux_taxes))</f>
        <v/>
      </c>
      <c r="F41" s="5">
        <f>IF(A41=0,0,infra_entretien_pct*$B$14*(1+g_entretien)^A41*(1+taux_taxes))</f>
        <v/>
      </c>
      <c r="G41" s="5">
        <f>IF(A41=$B$4,$B$23+$B$25,0)</f>
        <v/>
      </c>
      <c r="H41" s="5">
        <f>B41-C41+D41+E41+F41-G41</f>
        <v/>
      </c>
      <c r="I41" s="5">
        <f>IF(A41=0,$B$18,0)</f>
        <v/>
      </c>
      <c r="J41" s="5">
        <f>IF(A41=0,0,$B$5*$B$7/100*prix_diesel*(1+g_diesel)^A41*(1+taux_taxes))</f>
        <v/>
      </c>
      <c r="K41" s="5">
        <f>IF(A41=0,0,$B$5*$B$8*(1+g_entretien)^A41*(1+taux_taxes))</f>
        <v/>
      </c>
      <c r="L41" s="5">
        <f>IF(A41=$B$4,$B$22,0)</f>
        <v/>
      </c>
      <c r="M41" s="5">
        <f>I41+J41+K41-L41</f>
        <v/>
      </c>
      <c r="N41" s="5">
        <f>M41-H41</f>
        <v/>
      </c>
      <c r="O41" s="5">
        <f>1/(1+taux_r)^A41</f>
        <v/>
      </c>
      <c r="P41" s="5">
        <f>H41*O41</f>
        <v/>
      </c>
      <c r="Q41" s="5">
        <f>M41*O41</f>
        <v/>
      </c>
      <c r="R41" s="5">
        <f>R40+N41</f>
        <v/>
      </c>
      <c r="S41" s="5">
        <f>S40+N41*O41</f>
        <v/>
      </c>
      <c r="T41" s="5">
        <f>IF(A41=0,0,$B$5*O41)</f>
        <v/>
      </c>
      <c r="U41" s="6">
        <f>IF(R41&gt;=0,A41,"")</f>
        <v/>
      </c>
      <c r="V41" s="6">
        <f>IF(S41&gt;=0,A41,"")</f>
        <v/>
      </c>
      <c r="W41" s="6">
        <f>IF(A41=0,0,$B$5*$B$7/100*$B$15/1000)</f>
        <v/>
      </c>
      <c r="X41" s="6">
        <f>W41*ratio_wtw</f>
        <v/>
      </c>
      <c r="Y41" s="6">
        <f>IF(A41=0,0,$B$5*$B$21/100*fe_elec/1000000)</f>
        <v/>
      </c>
    </row>
    <row r="42">
      <c r="A42">
        <f>A41+1</f>
        <v/>
      </c>
      <c r="B42" s="5">
        <f>IF(A42=0,$B$19+$B$20,IF(A42=$B$24,$B$14*(1+g_general)^A42*(1+taux_taxes),0))</f>
        <v/>
      </c>
      <c r="C42" s="5">
        <f>IF(A42=$B$13,$B$12,0)</f>
        <v/>
      </c>
      <c r="D42" s="5">
        <f>IF(A42=0,0,$B$5*$B$21/100*prix_elec*(1+g_elec)^A42*(1+taux_taxes))</f>
        <v/>
      </c>
      <c r="E42" s="5">
        <f>IF(A42=0,0,$B$5*$B$11*(1+g_entretien)^A42*(1+taux_taxes))</f>
        <v/>
      </c>
      <c r="F42" s="5">
        <f>IF(A42=0,0,infra_entretien_pct*$B$14*(1+g_entretien)^A42*(1+taux_taxes))</f>
        <v/>
      </c>
      <c r="G42" s="5">
        <f>IF(A42=$B$4,$B$23+$B$25,0)</f>
        <v/>
      </c>
      <c r="H42" s="5">
        <f>B42-C42+D42+E42+F42-G42</f>
        <v/>
      </c>
      <c r="I42" s="5">
        <f>IF(A42=0,$B$18,0)</f>
        <v/>
      </c>
      <c r="J42" s="5">
        <f>IF(A42=0,0,$B$5*$B$7/100*prix_diesel*(1+g_diesel)^A42*(1+taux_taxes))</f>
        <v/>
      </c>
      <c r="K42" s="5">
        <f>IF(A42=0,0,$B$5*$B$8*(1+g_entretien)^A42*(1+taux_taxes))</f>
        <v/>
      </c>
      <c r="L42" s="5">
        <f>IF(A42=$B$4,$B$22,0)</f>
        <v/>
      </c>
      <c r="M42" s="5">
        <f>I42+J42+K42-L42</f>
        <v/>
      </c>
      <c r="N42" s="5">
        <f>M42-H42</f>
        <v/>
      </c>
      <c r="O42" s="5">
        <f>1/(1+taux_r)^A42</f>
        <v/>
      </c>
      <c r="P42" s="5">
        <f>H42*O42</f>
        <v/>
      </c>
      <c r="Q42" s="5">
        <f>M42*O42</f>
        <v/>
      </c>
      <c r="R42" s="5">
        <f>R41+N42</f>
        <v/>
      </c>
      <c r="S42" s="5">
        <f>S41+N42*O42</f>
        <v/>
      </c>
      <c r="T42" s="5">
        <f>IF(A42=0,0,$B$5*O42)</f>
        <v/>
      </c>
      <c r="U42" s="6">
        <f>IF(R42&gt;=0,A42,"")</f>
        <v/>
      </c>
      <c r="V42" s="6">
        <f>IF(S42&gt;=0,A42,"")</f>
        <v/>
      </c>
      <c r="W42" s="6">
        <f>IF(A42=0,0,$B$5*$B$7/100*$B$15/1000)</f>
        <v/>
      </c>
      <c r="X42" s="6">
        <f>W42*ratio_wtw</f>
        <v/>
      </c>
      <c r="Y42" s="6">
        <f>IF(A42=0,0,$B$5*$B$21/100*fe_elec/1000000)</f>
        <v/>
      </c>
    </row>
    <row r="43">
      <c r="A43">
        <f>A42+1</f>
        <v/>
      </c>
      <c r="B43" s="5">
        <f>IF(A43=0,$B$19+$B$20,IF(A43=$B$24,$B$14*(1+g_general)^A43*(1+taux_taxes),0))</f>
        <v/>
      </c>
      <c r="C43" s="5">
        <f>IF(A43=$B$13,$B$12,0)</f>
        <v/>
      </c>
      <c r="D43" s="5">
        <f>IF(A43=0,0,$B$5*$B$21/100*prix_elec*(1+g_elec)^A43*(1+taux_taxes))</f>
        <v/>
      </c>
      <c r="E43" s="5">
        <f>IF(A43=0,0,$B$5*$B$11*(1+g_entretien)^A43*(1+taux_taxes))</f>
        <v/>
      </c>
      <c r="F43" s="5">
        <f>IF(A43=0,0,infra_entretien_pct*$B$14*(1+g_entretien)^A43*(1+taux_taxes))</f>
        <v/>
      </c>
      <c r="G43" s="5">
        <f>IF(A43=$B$4,$B$23+$B$25,0)</f>
        <v/>
      </c>
      <c r="H43" s="5">
        <f>B43-C43+D43+E43+F43-G43</f>
        <v/>
      </c>
      <c r="I43" s="5">
        <f>IF(A43=0,$B$18,0)</f>
        <v/>
      </c>
      <c r="J43" s="5">
        <f>IF(A43=0,0,$B$5*$B$7/100*prix_diesel*(1+g_diesel)^A43*(1+taux_taxes))</f>
        <v/>
      </c>
      <c r="K43" s="5">
        <f>IF(A43=0,0,$B$5*$B$8*(1+g_entretien)^A43*(1+taux_taxes))</f>
        <v/>
      </c>
      <c r="L43" s="5">
        <f>IF(A43=$B$4,$B$22,0)</f>
        <v/>
      </c>
      <c r="M43" s="5">
        <f>I43+J43+K43-L43</f>
        <v/>
      </c>
      <c r="N43" s="5">
        <f>M43-H43</f>
        <v/>
      </c>
      <c r="O43" s="5">
        <f>1/(1+taux_r)^A43</f>
        <v/>
      </c>
      <c r="P43" s="5">
        <f>H43*O43</f>
        <v/>
      </c>
      <c r="Q43" s="5">
        <f>M43*O43</f>
        <v/>
      </c>
      <c r="R43" s="5">
        <f>R42+N43</f>
        <v/>
      </c>
      <c r="S43" s="5">
        <f>S42+N43*O43</f>
        <v/>
      </c>
      <c r="T43" s="5">
        <f>IF(A43=0,0,$B$5*O43)</f>
        <v/>
      </c>
      <c r="U43" s="6">
        <f>IF(R43&gt;=0,A43,"")</f>
        <v/>
      </c>
      <c r="V43" s="6">
        <f>IF(S43&gt;=0,A43,"")</f>
        <v/>
      </c>
      <c r="W43" s="6">
        <f>IF(A43=0,0,$B$5*$B$7/100*$B$15/1000)</f>
        <v/>
      </c>
      <c r="X43" s="6">
        <f>W43*ratio_wtw</f>
        <v/>
      </c>
      <c r="Y43" s="6">
        <f>IF(A43=0,0,$B$5*$B$21/100*fe_elec/1000000)</f>
        <v/>
      </c>
    </row>
    <row r="44">
      <c r="A44">
        <f>A43+1</f>
        <v/>
      </c>
      <c r="B44" s="5">
        <f>IF(A44=0,$B$19+$B$20,IF(A44=$B$24,$B$14*(1+g_general)^A44*(1+taux_taxes),0))</f>
        <v/>
      </c>
      <c r="C44" s="5">
        <f>IF(A44=$B$13,$B$12,0)</f>
        <v/>
      </c>
      <c r="D44" s="5">
        <f>IF(A44=0,0,$B$5*$B$21/100*prix_elec*(1+g_elec)^A44*(1+taux_taxes))</f>
        <v/>
      </c>
      <c r="E44" s="5">
        <f>IF(A44=0,0,$B$5*$B$11*(1+g_entretien)^A44*(1+taux_taxes))</f>
        <v/>
      </c>
      <c r="F44" s="5">
        <f>IF(A44=0,0,infra_entretien_pct*$B$14*(1+g_entretien)^A44*(1+taux_taxes))</f>
        <v/>
      </c>
      <c r="G44" s="5">
        <f>IF(A44=$B$4,$B$23+$B$25,0)</f>
        <v/>
      </c>
      <c r="H44" s="5">
        <f>B44-C44+D44+E44+F44-G44</f>
        <v/>
      </c>
      <c r="I44" s="5">
        <f>IF(A44=0,$B$18,0)</f>
        <v/>
      </c>
      <c r="J44" s="5">
        <f>IF(A44=0,0,$B$5*$B$7/100*prix_diesel*(1+g_diesel)^A44*(1+taux_taxes))</f>
        <v/>
      </c>
      <c r="K44" s="5">
        <f>IF(A44=0,0,$B$5*$B$8*(1+g_entretien)^A44*(1+taux_taxes))</f>
        <v/>
      </c>
      <c r="L44" s="5">
        <f>IF(A44=$B$4,$B$22,0)</f>
        <v/>
      </c>
      <c r="M44" s="5">
        <f>I44+J44+K44-L44</f>
        <v/>
      </c>
      <c r="N44" s="5">
        <f>M44-H44</f>
        <v/>
      </c>
      <c r="O44" s="5">
        <f>1/(1+taux_r)^A44</f>
        <v/>
      </c>
      <c r="P44" s="5">
        <f>H44*O44</f>
        <v/>
      </c>
      <c r="Q44" s="5">
        <f>M44*O44</f>
        <v/>
      </c>
      <c r="R44" s="5">
        <f>R43+N44</f>
        <v/>
      </c>
      <c r="S44" s="5">
        <f>S43+N44*O44</f>
        <v/>
      </c>
      <c r="T44" s="5">
        <f>IF(A44=0,0,$B$5*O44)</f>
        <v/>
      </c>
      <c r="U44" s="6">
        <f>IF(R44&gt;=0,A44,"")</f>
        <v/>
      </c>
      <c r="V44" s="6">
        <f>IF(S44&gt;=0,A44,"")</f>
        <v/>
      </c>
      <c r="W44" s="6">
        <f>IF(A44=0,0,$B$5*$B$7/100*$B$15/1000)</f>
        <v/>
      </c>
      <c r="X44" s="6">
        <f>W44*ratio_wtw</f>
        <v/>
      </c>
      <c r="Y44" s="6">
        <f>IF(A44=0,0,$B$5*$B$21/100*fe_elec/1000000)</f>
        <v/>
      </c>
    </row>
    <row r="45">
      <c r="A45">
        <f>A44+1</f>
        <v/>
      </c>
      <c r="B45" s="5">
        <f>IF(A45=0,$B$19+$B$20,IF(A45=$B$24,$B$14*(1+g_general)^A45*(1+taux_taxes),0))</f>
        <v/>
      </c>
      <c r="C45" s="5">
        <f>IF(A45=$B$13,$B$12,0)</f>
        <v/>
      </c>
      <c r="D45" s="5">
        <f>IF(A45=0,0,$B$5*$B$21/100*prix_elec*(1+g_elec)^A45*(1+taux_taxes))</f>
        <v/>
      </c>
      <c r="E45" s="5">
        <f>IF(A45=0,0,$B$5*$B$11*(1+g_entretien)^A45*(1+taux_taxes))</f>
        <v/>
      </c>
      <c r="F45" s="5">
        <f>IF(A45=0,0,infra_entretien_pct*$B$14*(1+g_entretien)^A45*(1+taux_taxes))</f>
        <v/>
      </c>
      <c r="G45" s="5">
        <f>IF(A45=$B$4,$B$23+$B$25,0)</f>
        <v/>
      </c>
      <c r="H45" s="5">
        <f>B45-C45+D45+E45+F45-G45</f>
        <v/>
      </c>
      <c r="I45" s="5">
        <f>IF(A45=0,$B$18,0)</f>
        <v/>
      </c>
      <c r="J45" s="5">
        <f>IF(A45=0,0,$B$5*$B$7/100*prix_diesel*(1+g_diesel)^A45*(1+taux_taxes))</f>
        <v/>
      </c>
      <c r="K45" s="5">
        <f>IF(A45=0,0,$B$5*$B$8*(1+g_entretien)^A45*(1+taux_taxes))</f>
        <v/>
      </c>
      <c r="L45" s="5">
        <f>IF(A45=$B$4,$B$22,0)</f>
        <v/>
      </c>
      <c r="M45" s="5">
        <f>I45+J45+K45-L45</f>
        <v/>
      </c>
      <c r="N45" s="5">
        <f>M45-H45</f>
        <v/>
      </c>
      <c r="O45" s="5">
        <f>1/(1+taux_r)^A45</f>
        <v/>
      </c>
      <c r="P45" s="5">
        <f>H45*O45</f>
        <v/>
      </c>
      <c r="Q45" s="5">
        <f>M45*O45</f>
        <v/>
      </c>
      <c r="R45" s="5">
        <f>R44+N45</f>
        <v/>
      </c>
      <c r="S45" s="5">
        <f>S44+N45*O45</f>
        <v/>
      </c>
      <c r="T45" s="5">
        <f>IF(A45=0,0,$B$5*O45)</f>
        <v/>
      </c>
      <c r="U45" s="6">
        <f>IF(R45&gt;=0,A45,"")</f>
        <v/>
      </c>
      <c r="V45" s="6">
        <f>IF(S45&gt;=0,A45,"")</f>
        <v/>
      </c>
      <c r="W45" s="6">
        <f>IF(A45=0,0,$B$5*$B$7/100*$B$15/1000)</f>
        <v/>
      </c>
      <c r="X45" s="6">
        <f>W45*ratio_wtw</f>
        <v/>
      </c>
      <c r="Y45" s="6">
        <f>IF(A45=0,0,$B$5*$B$21/100*fe_elec/1000000)</f>
        <v/>
      </c>
    </row>
    <row r="47">
      <c r="A47" s="2" t="inlineStr">
        <is>
          <t>Résultats (formules)</t>
        </is>
      </c>
      <c r="C47" s="2" t="inlineStr">
        <is>
          <t>Attendu (contre-calcul indépendant, JSON) — comparaison seulement</t>
        </is>
      </c>
    </row>
    <row r="48">
      <c r="A48" s="2" t="inlineStr">
        <is>
          <t>TCO actualisé — alternative ($)</t>
        </is>
      </c>
      <c r="B48" s="4">
        <f>SUM(P29:P45)</f>
        <v/>
      </c>
      <c r="C48" s="7" t="n">
        <v>2848091.45</v>
      </c>
    </row>
    <row r="49">
      <c r="A49" s="2" t="inlineStr">
        <is>
          <t>TCO actualisé — référence ($)</t>
        </is>
      </c>
      <c r="B49" s="4">
        <f>SUM(Q29:Q45)</f>
        <v/>
      </c>
      <c r="C49" s="7" t="n">
        <v>2240933.64</v>
      </c>
    </row>
    <row r="50">
      <c r="A50" s="2" t="inlineStr">
        <is>
          <t>VAN différentielle réf − alt ($)</t>
        </is>
      </c>
      <c r="B50" s="4">
        <f>B49-B48</f>
        <v/>
      </c>
      <c r="C50" s="7" t="n">
        <v>-607157.8</v>
      </c>
    </row>
    <row r="51">
      <c r="A51" s="2" t="inlineStr">
        <is>
          <t>km actualisés</t>
        </is>
      </c>
      <c r="B51" s="4">
        <f>SUM(T29:T45)</f>
        <v/>
      </c>
    </row>
    <row r="52">
      <c r="A52" s="2" t="inlineStr">
        <is>
          <t>TCO/km actualisé — alternative ($/km)</t>
        </is>
      </c>
      <c r="B52" s="4">
        <f>B48/B51</f>
        <v/>
      </c>
      <c r="C52" s="7" t="n">
        <v>4.3799</v>
      </c>
    </row>
    <row r="53">
      <c r="A53" s="2" t="inlineStr">
        <is>
          <t>TCO/km actualisé — référence ($/km)</t>
        </is>
      </c>
      <c r="B53" s="4">
        <f>B49/B51</f>
        <v/>
      </c>
    </row>
    <row r="54">
      <c r="A54" s="2" t="inlineStr">
        <is>
          <t>Délai de récupération simple (années)</t>
        </is>
      </c>
      <c r="B54" s="4">
        <f>IF(COUNT(U29:U45)=0,"null : jamais atteint sur l'horizon",MIN(U29:U45))</f>
        <v/>
      </c>
      <c r="C54" s="7" t="inlineStr">
        <is>
          <t>null</t>
        </is>
      </c>
    </row>
    <row r="55">
      <c r="A55" s="2" t="inlineStr">
        <is>
          <t>Délai de récupération actualisé (années)</t>
        </is>
      </c>
      <c r="B55" s="4">
        <f>IF(COUNT(V29:V45)=0,"null : jamais atteint sur l'horizon",MIN(V29:V45))</f>
        <v/>
      </c>
      <c r="C55" s="7" t="inlineStr">
        <is>
          <t>null</t>
        </is>
      </c>
    </row>
    <row r="56">
      <c r="A56" s="2" t="inlineStr">
        <is>
          <t>CO2e évité cumulé TTW (t)</t>
        </is>
      </c>
      <c r="B56" s="4">
        <f>SUM(W29:W45)</f>
        <v/>
      </c>
      <c r="C56" s="7" t="n">
        <v>1176.768</v>
      </c>
    </row>
    <row r="57">
      <c r="A57" s="2" t="inlineStr">
        <is>
          <t>CO2e évité cumulé WTW (t)</t>
        </is>
      </c>
      <c r="B57" s="4">
        <f>SUM(X29:X45)-SUM(Y29:Y45)</f>
        <v/>
      </c>
      <c r="C57" s="7" t="n">
        <v>1469.02</v>
      </c>
    </row>
    <row r="58">
      <c r="A58" s="2" t="inlineStr">
        <is>
          <t>Coût (+) ou gain (−) par tonne WTW évitée ($/t)</t>
        </is>
      </c>
      <c r="B58" s="4">
        <f>(B48-B49)/B57</f>
        <v/>
      </c>
      <c r="C58" s="7" t="n">
        <v>413.31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2026-09-29T08:55:42Z</dcterms:created>
  <dcterms:modified xsi:type="dcterms:W3CDTF">2026-09-29T08:55:42Z</dcterms:modified>
</cp:coreProperties>
</file>